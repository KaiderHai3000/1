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Fahrschulen" sheetId="2" state="visible" r:id="rId4"/>
    <sheet name="Legende" sheetId="3" state="visible" r:id="rId5"/>
  </sheets>
  <definedNames>
    <definedName function="false" hidden="true" localSheetId="1" name="_xlnm._FilterDatabase" vbProcedure="false">Fahrschulen!$A$1:$V$45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Vorgabe Kai Schindler: 60 € pro Empfehlung, aus der ein Kunde wird. Wert hier ändern – alle Provisionen rechnen neu.</t>
        </r>
      </text>
    </comment>
  </commentList>
</comments>
</file>

<file path=xl/sharedStrings.xml><?xml version="1.0" encoding="utf-8"?>
<sst xmlns="http://schemas.openxmlformats.org/spreadsheetml/2006/main" count="521" uniqueCount="244">
  <si>
    <t xml:space="preserve">Kfz-Aktion Fahrschulen – Pforzheim &amp; Enzkreis</t>
  </si>
  <si>
    <t xml:space="preserve">Stand Recherche: 26.10.2026 – alle Werte rechnen automatisch aus dem Blatt „Fahrschulen“.</t>
  </si>
  <si>
    <t xml:space="preserve">Status</t>
  </si>
  <si>
    <t xml:space="preserve">Pforzheim</t>
  </si>
  <si>
    <t xml:space="preserve">Enzkreis</t>
  </si>
  <si>
    <t xml:space="preserve">Gesamt</t>
  </si>
  <si>
    <t xml:space="preserve">Provision pro Empfehlung (€)</t>
  </si>
  <si>
    <t xml:space="preserve">Offen</t>
  </si>
  <si>
    <t xml:space="preserve">(gelbe Zelle änderbar)</t>
  </si>
  <si>
    <t xml:space="preserve">Angeschrieben</t>
  </si>
  <si>
    <t xml:space="preserve">Angerufen</t>
  </si>
  <si>
    <t xml:space="preserve">Interesse Fahrschulflotte (Marvin)</t>
  </si>
  <si>
    <t xml:space="preserve">Nachfassen</t>
  </si>
  <si>
    <t xml:space="preserve">Termin vereinbart</t>
  </si>
  <si>
    <t xml:space="preserve">Vortrag gehalten</t>
  </si>
  <si>
    <t xml:space="preserve">Kooperation aktiv</t>
  </si>
  <si>
    <t xml:space="preserve">Kein Interesse</t>
  </si>
  <si>
    <t xml:space="preserve">Geschlossen / existiert nicht</t>
  </si>
  <si>
    <t xml:space="preserve">Fahrschulen gesamt</t>
  </si>
  <si>
    <t xml:space="preserve">Kennzahlen</t>
  </si>
  <si>
    <t xml:space="preserve">Daten geprüft</t>
  </si>
  <si>
    <t xml:space="preserve">Tippgeber-Vereinbarung unterschrieben</t>
  </si>
  <si>
    <t xml:space="preserve">Tipps / Leads</t>
  </si>
  <si>
    <t xml:space="preserve">Abschlüsse</t>
  </si>
  <si>
    <t xml:space="preserve">Abschlussquote (Abschlüsse / Leads)</t>
  </si>
  <si>
    <t xml:space="preserve">Provision gesamt (€)</t>
  </si>
  <si>
    <t xml:space="preserve">Hinweise</t>
  </si>
  <si>
    <t xml:space="preserve">• Daten stammen aus Branchenverzeichnissen (Das Örtliche, golocal, 11880, Gelbe Seiten, cylex, city-map, clickclickdrive, fahrschulen24, YellowMap).</t>
  </si>
  <si>
    <t xml:space="preserve">• Adressen teils widersprüchlich/veraltet – vor dem Anschreiben „Daten geprüft“ auf Ja setzen.</t>
  </si>
  <si>
    <t xml:space="preserve">• Mögliche Doppelungen: Weiss / Veser + Weiss, Bernd / Patric Waidner, No Limit (Mühlacker + Knittlingen).</t>
  </si>
  <si>
    <t xml:space="preserve">• Provision nur als Tippgeber-Modell (nur Kontaktweitergabe, keine Beratung) – sonst §34d GewO. Vorher mit tecis-Compliance klären.</t>
  </si>
  <si>
    <t xml:space="preserve">Nr</t>
  </si>
  <si>
    <t xml:space="preserve">Fahrschule</t>
  </si>
  <si>
    <t xml:space="preserve">Gebiet</t>
  </si>
  <si>
    <t xml:space="preserve">Ort</t>
  </si>
  <si>
    <t xml:space="preserve">Adresse</t>
  </si>
  <si>
    <t xml:space="preserve">Telefon</t>
  </si>
  <si>
    <t xml:space="preserve">Website</t>
  </si>
  <si>
    <t xml:space="preserve">E-Mail</t>
  </si>
  <si>
    <t xml:space="preserve">Quelle</t>
  </si>
  <si>
    <t xml:space="preserve">Hinweis</t>
  </si>
  <si>
    <t xml:space="preserve">Ansprechpartner</t>
  </si>
  <si>
    <t xml:space="preserve">Letzter Kontakt</t>
  </si>
  <si>
    <t xml:space="preserve">Nächster Schritt</t>
  </si>
  <si>
    <t xml:space="preserve">Termin Vortrag</t>
  </si>
  <si>
    <t xml:space="preserve">Tippgeber-Vereinbarung</t>
  </si>
  <si>
    <t xml:space="preserve">Notizen</t>
  </si>
  <si>
    <t xml:space="preserve">Provision (€)</t>
  </si>
  <si>
    <t xml:space="preserve">Interesse Flotte (Marvin)</t>
  </si>
  <si>
    <t xml:space="preserve">Fahrschule Britsch</t>
  </si>
  <si>
    <t xml:space="preserve">Pforzheim-Nordstadt</t>
  </si>
  <si>
    <t xml:space="preserve">Christophallee 10</t>
  </si>
  <si>
    <t xml:space="preserve">07231 589797</t>
  </si>
  <si>
    <t xml:space="preserve">Das Örtliche / golocal</t>
  </si>
  <si>
    <t xml:space="preserve">Nein</t>
  </si>
  <si>
    <t xml:space="preserve">Fahrschule Veser + Weiss GmbH</t>
  </si>
  <si>
    <t xml:space="preserve">Welschenäckerstr. 9, 75172 Pforzheim</t>
  </si>
  <si>
    <t xml:space="preserve">07231 17889</t>
  </si>
  <si>
    <t xml:space="preserve">Schwerpunkt LKW &amp; Bus</t>
  </si>
  <si>
    <t xml:space="preserve">Fahrschule Becht</t>
  </si>
  <si>
    <t xml:space="preserve">Pforzheim-Südweststadt</t>
  </si>
  <si>
    <t xml:space="preserve">Bleichstr. 46</t>
  </si>
  <si>
    <t xml:space="preserve">07231 22398</t>
  </si>
  <si>
    <t xml:space="preserve">Fahrschule Birr</t>
  </si>
  <si>
    <t xml:space="preserve">Pforzheim-Weststadt</t>
  </si>
  <si>
    <t xml:space="preserve">Westliche Karl-Friedrich-Str. 102</t>
  </si>
  <si>
    <t xml:space="preserve">0172 7203117</t>
  </si>
  <si>
    <t xml:space="preserve">Fahrschule Gisela GmbH</t>
  </si>
  <si>
    <t xml:space="preserve">Pforzheim-Südstadt</t>
  </si>
  <si>
    <t xml:space="preserve">Holzgartenstr. 30</t>
  </si>
  <si>
    <t xml:space="preserve">07231 601166</t>
  </si>
  <si>
    <t xml:space="preserve">Fahrschule Weiss GmbH</t>
  </si>
  <si>
    <t xml:space="preserve">Pforzheim-Innenstadt</t>
  </si>
  <si>
    <t xml:space="preserve">Zerrennerstr. 15</t>
  </si>
  <si>
    <t xml:space="preserve">07231 23310</t>
  </si>
  <si>
    <t xml:space="preserve">Evtl. verbunden mit Veser + Weiss – prüfen</t>
  </si>
  <si>
    <t xml:space="preserve">Fahrschule X</t>
  </si>
  <si>
    <t xml:space="preserve">Pforzheim-Brötzingen</t>
  </si>
  <si>
    <t xml:space="preserve">Westliche Karl-Friedrich-Str. 271</t>
  </si>
  <si>
    <t xml:space="preserve">0176 21506336</t>
  </si>
  <si>
    <t xml:space="preserve">Fahrschule Richard Kirschler</t>
  </si>
  <si>
    <t xml:space="preserve">Zerrennerstr. 32</t>
  </si>
  <si>
    <t xml:space="preserve">0171 6544009</t>
  </si>
  <si>
    <t xml:space="preserve">Fahrschule Thomas Seewald</t>
  </si>
  <si>
    <t xml:space="preserve">Jahnstr. 25</t>
  </si>
  <si>
    <t xml:space="preserve">07231 27731</t>
  </si>
  <si>
    <t xml:space="preserve">Fahrschule Schwarzer GbR</t>
  </si>
  <si>
    <t xml:space="preserve">Bleichstr. 35</t>
  </si>
  <si>
    <t xml:space="preserve">07231 25204</t>
  </si>
  <si>
    <t xml:space="preserve">Das Örtliche / cylex</t>
  </si>
  <si>
    <t xml:space="preserve">Fahrschule Manfred Klinger</t>
  </si>
  <si>
    <t xml:space="preserve">Vogesenallee 8</t>
  </si>
  <si>
    <t xml:space="preserve">07231 789373</t>
  </si>
  <si>
    <t xml:space="preserve">Fahrschule T. Kunzmann</t>
  </si>
  <si>
    <t xml:space="preserve">Christophallee 24</t>
  </si>
  <si>
    <t xml:space="preserve">07231 424963</t>
  </si>
  <si>
    <t xml:space="preserve">Fahrschule Frank Lieberwirth</t>
  </si>
  <si>
    <t xml:space="preserve">Pforzheim-Eutingen</t>
  </si>
  <si>
    <t xml:space="preserve">Meisenstr. 4</t>
  </si>
  <si>
    <t xml:space="preserve">07231 51228</t>
  </si>
  <si>
    <t xml:space="preserve">Fahrschule Jürgen Anthoni Mikol</t>
  </si>
  <si>
    <t xml:space="preserve">Westliche Karl-Friedrich-Str. 214</t>
  </si>
  <si>
    <t xml:space="preserve">0170 8036954</t>
  </si>
  <si>
    <t xml:space="preserve">Die Autohaus Fahrschule (ahg)</t>
  </si>
  <si>
    <t xml:space="preserve">Pforzheim-Wilferdinger Höhe</t>
  </si>
  <si>
    <t xml:space="preserve">Karlsruher Str. 69</t>
  </si>
  <si>
    <t xml:space="preserve">07231 930878</t>
  </si>
  <si>
    <t xml:space="preserve">Alt. Tel. 07231 9308-20; auch Anhänger- &amp; Auffrischungskurse</t>
  </si>
  <si>
    <t xml:space="preserve">Fahrschule Kästner</t>
  </si>
  <si>
    <t xml:space="preserve">genaumeinkurs.de</t>
  </si>
  <si>
    <t xml:space="preserve">Älteste Fahrschule Pforzheims (seit 1956) – Adresse/Telefon fehlen</t>
  </si>
  <si>
    <t xml:space="preserve">Fahrschule Fischer (Gerhard Fischer)</t>
  </si>
  <si>
    <t xml:space="preserve">Remchingen</t>
  </si>
  <si>
    <t xml:space="preserve">Wilferdinger Str. 7, 75196 Remchingen</t>
  </si>
  <si>
    <t xml:space="preserve">07232 70909</t>
  </si>
  <si>
    <t xml:space="preserve">cylex / 11880</t>
  </si>
  <si>
    <t xml:space="preserve">Büro laut Eintrag Di + Do abends</t>
  </si>
  <si>
    <t xml:space="preserve">Fahrschule Six</t>
  </si>
  <si>
    <t xml:space="preserve">Remchingen-Wilferdingen</t>
  </si>
  <si>
    <t xml:space="preserve">Pforzheimer Str. 8, 75196 Remchingen</t>
  </si>
  <si>
    <t xml:space="preserve">0177 6611723</t>
  </si>
  <si>
    <t xml:space="preserve">11880</t>
  </si>
  <si>
    <t xml:space="preserve">Fahrschule Uwe Wallner</t>
  </si>
  <si>
    <t xml:space="preserve">Königsbach-Stein</t>
  </si>
  <si>
    <t xml:space="preserve">Walter-Rathenau-Str. 6, 75203 Königsbach-Stein</t>
  </si>
  <si>
    <t xml:space="preserve">07232 9489</t>
  </si>
  <si>
    <t xml:space="preserve">Christa Bohrer, Fahrlehrerin</t>
  </si>
  <si>
    <t xml:space="preserve">Mühlacker-Großglattbach</t>
  </si>
  <si>
    <t xml:space="preserve">Fronackerweg 30, 75417 Mühlacker</t>
  </si>
  <si>
    <t xml:space="preserve">07042 93227</t>
  </si>
  <si>
    <t xml:space="preserve">Branchenverzeichnis</t>
  </si>
  <si>
    <t xml:space="preserve">Eintrag evtl. veraltet</t>
  </si>
  <si>
    <t xml:space="preserve">Fahrschule No Limit</t>
  </si>
  <si>
    <t xml:space="preserve">Mühlacker / Knittlingen</t>
  </si>
  <si>
    <t xml:space="preserve">Bahnhofstr. 71, 75417 Mühlacker</t>
  </si>
  <si>
    <t xml:space="preserve">fahrschule-123.de</t>
  </si>
  <si>
    <t xml:space="preserve">fahrschule-123.de / clickclickdrive</t>
  </si>
  <si>
    <t xml:space="preserve">Auch in Knittlingen gelistet</t>
  </si>
  <si>
    <t xml:space="preserve">Tom Engel Fahrschule</t>
  </si>
  <si>
    <t xml:space="preserve">Mühlacker</t>
  </si>
  <si>
    <t xml:space="preserve">Bahnhofstr. 120, 75417 Mühlacker</t>
  </si>
  <si>
    <t xml:space="preserve">Gelbe Seiten</t>
  </si>
  <si>
    <t xml:space="preserve">Fahrschule Jim Engel</t>
  </si>
  <si>
    <t xml:space="preserve">Mühlacker / Niefern</t>
  </si>
  <si>
    <t xml:space="preserve">Filiale Niefern: Schloßstr. 13</t>
  </si>
  <si>
    <t xml:space="preserve">fahrschule-jimengel.de</t>
  </si>
  <si>
    <t xml:space="preserve">Eigene Website</t>
  </si>
  <si>
    <t xml:space="preserve">Mehrere Filialen (Mühlacker, Niefern)</t>
  </si>
  <si>
    <t xml:space="preserve">TIP Fahrschule + Sportbootschule GmbH</t>
  </si>
  <si>
    <t xml:space="preserve">Niefern-Öschelbronn</t>
  </si>
  <si>
    <t xml:space="preserve">Lifestyle Cars Mobility</t>
  </si>
  <si>
    <t xml:space="preserve">Auch Bootsführerschein</t>
  </si>
  <si>
    <t xml:space="preserve">Fahrschule Alexander Fröhlich</t>
  </si>
  <si>
    <t xml:space="preserve">Knittlingen</t>
  </si>
  <si>
    <t xml:space="preserve">Stuttgarter Str. 7, Knittlingen</t>
  </si>
  <si>
    <t xml:space="preserve">clickclickdrive / 11880</t>
  </si>
  <si>
    <t xml:space="preserve">Udo's Fahrschule</t>
  </si>
  <si>
    <t xml:space="preserve">Weißhoferstr. 65, Knittlingen</t>
  </si>
  <si>
    <t xml:space="preserve">city-map</t>
  </si>
  <si>
    <t xml:space="preserve">Fahrschule Jörg's</t>
  </si>
  <si>
    <t xml:space="preserve">Rote-Tor-Str. 4, Knittlingen</t>
  </si>
  <si>
    <t xml:space="preserve">Fahrschule Hans Jaggy</t>
  </si>
  <si>
    <t xml:space="preserve">Maulbronn</t>
  </si>
  <si>
    <t xml:space="preserve">Hermann-Hesse-Str. 15, 75433 Maulbronn</t>
  </si>
  <si>
    <t xml:space="preserve">Academy Fahrschule SNH</t>
  </si>
  <si>
    <t xml:space="preserve">Ötisheim</t>
  </si>
  <si>
    <t xml:space="preserve">Maulbronner Str. 46, 75443 Ötisheim</t>
  </si>
  <si>
    <t xml:space="preserve">city-map / 11880</t>
  </si>
  <si>
    <t xml:space="preserve">Fahrschule Jürgen Kölmel</t>
  </si>
  <si>
    <t xml:space="preserve">Wiernsheim</t>
  </si>
  <si>
    <t xml:space="preserve">Wurmberger Str. 3, Wiernsheim</t>
  </si>
  <si>
    <t xml:space="preserve">city-map / YellowMap</t>
  </si>
  <si>
    <t xml:space="preserve">Alt. Adresse: Mühlacker Str. 8</t>
  </si>
  <si>
    <t xml:space="preserve">ASS Fahrerschulung Nenad Jilke</t>
  </si>
  <si>
    <t xml:space="preserve">Illingen</t>
  </si>
  <si>
    <t xml:space="preserve">Uhlandstr. 18, Illingen</t>
  </si>
  <si>
    <t xml:space="preserve">Stefan Kurbel, Fahrlehrer</t>
  </si>
  <si>
    <t xml:space="preserve">Silcherweg 6, Illingen</t>
  </si>
  <si>
    <t xml:space="preserve">Steffens Fahrschule</t>
  </si>
  <si>
    <t xml:space="preserve">Bahnhofstr. 15, Illingen</t>
  </si>
  <si>
    <t xml:space="preserve">Laut 11880 evtl. geschlossen</t>
  </si>
  <si>
    <t xml:space="preserve">Fahrschule Sasse</t>
  </si>
  <si>
    <t xml:space="preserve">Friolzheim</t>
  </si>
  <si>
    <t xml:space="preserve">Lerchenstr. 35, Friolzheim</t>
  </si>
  <si>
    <t xml:space="preserve">Alt. Adresse: Lerchenstr. 50</t>
  </si>
  <si>
    <t xml:space="preserve">Frank's Fahrschule</t>
  </si>
  <si>
    <t xml:space="preserve">Birkenfeld</t>
  </si>
  <si>
    <t xml:space="preserve">Marktplatz 4, 75217 Birkenfeld</t>
  </si>
  <si>
    <t xml:space="preserve">clickclickdrive</t>
  </si>
  <si>
    <t xml:space="preserve">Teils Marktplatz 5 angegeben</t>
  </si>
  <si>
    <t xml:space="preserve">Fahrschule Bernd Waidner</t>
  </si>
  <si>
    <t xml:space="preserve">Evtl. verbunden mit Patric Waidner – prüfen</t>
  </si>
  <si>
    <t xml:space="preserve">Fahrschule Patric Waidner</t>
  </si>
  <si>
    <t xml:space="preserve">Straubenhardt</t>
  </si>
  <si>
    <t xml:space="preserve">Hauptstr. 69, 75334 Straubenhardt</t>
  </si>
  <si>
    <t xml:space="preserve">YellowMap</t>
  </si>
  <si>
    <t xml:space="preserve">Fahrschule Klaus Jost</t>
  </si>
  <si>
    <t xml:space="preserve">Neuenbürg</t>
  </si>
  <si>
    <t xml:space="preserve">Klingstr. 2, 75305 Neuenbürg</t>
  </si>
  <si>
    <t xml:space="preserve">fahrschule-die-lizenz.de</t>
  </si>
  <si>
    <t xml:space="preserve">Rüdiger's Fahrschule</t>
  </si>
  <si>
    <t xml:space="preserve">Neuenbürg / Straubenhardt</t>
  </si>
  <si>
    <t xml:space="preserve">Ottenhäuser Str. 2, 75305 Neuenbürg</t>
  </si>
  <si>
    <t xml:space="preserve">fahrschulen24 / YellowMap</t>
  </si>
  <si>
    <t xml:space="preserve">Filiale: Neuenbürger Str. 47, 75334 Straubenhardt</t>
  </si>
  <si>
    <t xml:space="preserve">Fahrschule Michael Könne</t>
  </si>
  <si>
    <t xml:space="preserve">Engelsbrand / Ispringen</t>
  </si>
  <si>
    <t xml:space="preserve">fahrschulen24</t>
  </si>
  <si>
    <t xml:space="preserve">Standorte Engelsbrand und Ispringen</t>
  </si>
  <si>
    <t xml:space="preserve">Fahrschule Zenker</t>
  </si>
  <si>
    <t xml:space="preserve">Engelsbrand</t>
  </si>
  <si>
    <t xml:space="preserve">Calwer Str. 4, 75331 Engelsbrand</t>
  </si>
  <si>
    <t xml:space="preserve">fuehrerscheintest-online.de</t>
  </si>
  <si>
    <t xml:space="preserve">Fahrschule Bernhard Pannier</t>
  </si>
  <si>
    <t xml:space="preserve">Römerstr. 10, Engelsbrand</t>
  </si>
  <si>
    <t xml:space="preserve">Fahrschule Adam</t>
  </si>
  <si>
    <t xml:space="preserve">Keltern</t>
  </si>
  <si>
    <t xml:space="preserve">Östliche Friedrichstr. 12, 75210 Keltern</t>
  </si>
  <si>
    <t xml:space="preserve">Alt. Adresse: Westliche Friedrichstr. 27</t>
  </si>
  <si>
    <t xml:space="preserve">Fahrschule Damerius (Jan Sauerbrey)</t>
  </si>
  <si>
    <t xml:space="preserve">Kämpfelbach-Ersingen</t>
  </si>
  <si>
    <t xml:space="preserve">Kelterstr. 3A, 75236 Kämpfelbach</t>
  </si>
  <si>
    <t xml:space="preserve">0176 62909080</t>
  </si>
  <si>
    <t xml:space="preserve">Legende</t>
  </si>
  <si>
    <t xml:space="preserve">Gelbe Zellen</t>
  </si>
  <si>
    <t xml:space="preserve">Hier trägst du ein (Blatt „Fahrschulen“, Spalten H und K–T). Weiße Spalten = Recherche-Daten.</t>
  </si>
  <si>
    <t xml:space="preserve">Auswahlliste: Offen, Angeschrieben, Angerufen, Nachfassen, Termin vereinbart, Vortrag gehalten, Kooperation aktiv, Kein Interesse, Geschlossen / existiert nicht</t>
  </si>
  <si>
    <t xml:space="preserve">Ja, sobald Adresse/Telefon/Inhaber telefonisch oder per Website bestätigt sind.</t>
  </si>
  <si>
    <t xml:space="preserve">Ja / Nein / In Prüfung</t>
  </si>
  <si>
    <t xml:space="preserve">Datumsfelder</t>
  </si>
  <si>
    <t xml:space="preserve">Format TT.MM.JJJJ</t>
  </si>
  <si>
    <t xml:space="preserve">Farben</t>
  </si>
  <si>
    <t xml:space="preserve">Grün = Kooperation aktiv · Blau = Termin vereinbart / Vortrag gehalten · Grau = Kein Interesse / geschlossen</t>
  </si>
  <si>
    <t xml:space="preserve">Beispielzeile (so ausfüllen)</t>
  </si>
  <si>
    <t xml:space="preserve">Herr Müller (Inhaber)</t>
  </si>
  <si>
    <t xml:space="preserve">03.11.2026</t>
  </si>
  <si>
    <t xml:space="preserve">Flyer + Tippgeber-Vereinbarung mitbringen</t>
  </si>
  <si>
    <t xml:space="preserve">19.11.2026</t>
  </si>
  <si>
    <t xml:space="preserve">In Prüfung</t>
  </si>
  <si>
    <t xml:space="preserve">0</t>
  </si>
  <si>
    <t xml:space="preserve">Theorieunterricht Di/Do 18 Uhr, ca. 15 Schüler</t>
  </si>
  <si>
    <t xml:space="preserve">Provision</t>
  </si>
  <si>
    <t xml:space="preserve">Spalte U rechnet automatisch: Abschlüsse × 60 € (Wert in Übersicht!G4). Nur Abschlüsse eintragen, die aus Empfehlungen der Fahrschule entstanden sind.</t>
  </si>
  <si>
    <t xml:space="preserve">Offen / Ja / Nein / An Marvin übergeben – ob die Fahrschule ihre eigenen Fahrschulautos von Marvin Mönig (Gewerbefahrzeuge) vergleichen lassen möchte.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</si>
</sst>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General"/>
    <numFmt numFmtId="167" formatCode="0.0%;\-0.0%;\-"/>
    <numFmt numFmtId="168" formatCode="#,##0&quot; €&quot;;\-#,##0&quot; €&quot;;\-"/>
    <numFmt numFmtId="169" formatCode="dd\.mm\.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6" min="6" style="1" width="30"/>
    <col collapsed="false" customWidth="true" hidden="false" outlineLevel="0" max="7" min="7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F4" s="6" t="s">
        <v>6</v>
      </c>
      <c r="G4" s="7" t="n">
        <v>60</v>
      </c>
    </row>
    <row r="5" customFormat="false" ht="15" hidden="false" customHeight="true" outlineLevel="0" collapsed="false">
      <c r="A5" s="8" t="s">
        <v>7</v>
      </c>
      <c r="B5" s="8" t="n">
        <f aca="false">COUNTIFS(Fahrschulen!$C$2:$C$45,"Pforzheim",Fahrschulen!$L$2:$L$45,"Offen")</f>
        <v>16</v>
      </c>
      <c r="C5" s="8" t="n">
        <f aca="false">COUNTIFS(Fahrschulen!$C$2:$C$45,"Enzkreis",Fahrschulen!$L$2:$L$45,"Offen")</f>
        <v>28</v>
      </c>
      <c r="D5" s="8" t="n">
        <f aca="false">B5+C5</f>
        <v>44</v>
      </c>
      <c r="F5" s="3" t="s">
        <v>8</v>
      </c>
    </row>
    <row r="6" customFormat="false" ht="15" hidden="false" customHeight="true" outlineLevel="0" collapsed="false">
      <c r="A6" s="8" t="s">
        <v>9</v>
      </c>
      <c r="B6" s="8" t="n">
        <f aca="false">COUNTIFS(Fahrschulen!$C$2:$C$45,"Pforzheim",Fahrschulen!$L$2:$L$45,"Angeschrieben")</f>
        <v>0</v>
      </c>
      <c r="C6" s="8" t="n">
        <f aca="false">COUNTIFS(Fahrschulen!$C$2:$C$45,"Enzkreis",Fahrschulen!$L$2:$L$45,"Angeschrieben")</f>
        <v>0</v>
      </c>
      <c r="D6" s="8" t="n">
        <f aca="false">B6+C6</f>
        <v>0</v>
      </c>
    </row>
    <row r="7" customFormat="false" ht="15" hidden="false" customHeight="true" outlineLevel="0" collapsed="false">
      <c r="A7" s="8" t="s">
        <v>10</v>
      </c>
      <c r="B7" s="8" t="n">
        <f aca="false">COUNTIFS(Fahrschulen!$C$2:$C$45,"Pforzheim",Fahrschulen!$L$2:$L$45,"Angerufen")</f>
        <v>0</v>
      </c>
      <c r="C7" s="8" t="n">
        <f aca="false">COUNTIFS(Fahrschulen!$C$2:$C$45,"Enzkreis",Fahrschulen!$L$2:$L$45,"Angerufen")</f>
        <v>0</v>
      </c>
      <c r="D7" s="8" t="n">
        <f aca="false">B7+C7</f>
        <v>0</v>
      </c>
      <c r="F7" s="9" t="s">
        <v>11</v>
      </c>
      <c r="G7" s="10" t="n">
        <f aca="false">COUNTIF(Fahrschulen!$V$2:$V$45,"Ja")+COUNTIF(Fahrschulen!$V$2:$V$45,"An Marvin übergeben")</f>
        <v>0</v>
      </c>
    </row>
    <row r="8" customFormat="false" ht="15" hidden="false" customHeight="true" outlineLevel="0" collapsed="false">
      <c r="A8" s="8" t="s">
        <v>12</v>
      </c>
      <c r="B8" s="8" t="n">
        <f aca="false">COUNTIFS(Fahrschulen!$C$2:$C$45,"Pforzheim",Fahrschulen!$L$2:$L$45,"Nachfassen")</f>
        <v>0</v>
      </c>
      <c r="C8" s="8" t="n">
        <f aca="false">COUNTIFS(Fahrschulen!$C$2:$C$45,"Enzkreis",Fahrschulen!$L$2:$L$45,"Nachfassen")</f>
        <v>0</v>
      </c>
      <c r="D8" s="8" t="n">
        <f aca="false">B8+C8</f>
        <v>0</v>
      </c>
    </row>
    <row r="9" customFormat="false" ht="15" hidden="false" customHeight="true" outlineLevel="0" collapsed="false">
      <c r="A9" s="8" t="s">
        <v>13</v>
      </c>
      <c r="B9" s="8" t="n">
        <f aca="false">COUNTIFS(Fahrschulen!$C$2:$C$45,"Pforzheim",Fahrschulen!$L$2:$L$45,"Termin vereinbart")</f>
        <v>0</v>
      </c>
      <c r="C9" s="8" t="n">
        <f aca="false">COUNTIFS(Fahrschulen!$C$2:$C$45,"Enzkreis",Fahrschulen!$L$2:$L$45,"Termin vereinbart")</f>
        <v>0</v>
      </c>
      <c r="D9" s="8" t="n">
        <f aca="false">B9+C9</f>
        <v>0</v>
      </c>
    </row>
    <row r="10" customFormat="false" ht="15" hidden="false" customHeight="true" outlineLevel="0" collapsed="false">
      <c r="A10" s="8" t="s">
        <v>14</v>
      </c>
      <c r="B10" s="8" t="n">
        <f aca="false">COUNTIFS(Fahrschulen!$C$2:$C$45,"Pforzheim",Fahrschulen!$L$2:$L$45,"Vortrag gehalten")</f>
        <v>0</v>
      </c>
      <c r="C10" s="8" t="n">
        <f aca="false">COUNTIFS(Fahrschulen!$C$2:$C$45,"Enzkreis",Fahrschulen!$L$2:$L$45,"Vortrag gehalten")</f>
        <v>0</v>
      </c>
      <c r="D10" s="8" t="n">
        <f aca="false">B10+C10</f>
        <v>0</v>
      </c>
    </row>
    <row r="11" customFormat="false" ht="15" hidden="false" customHeight="true" outlineLevel="0" collapsed="false">
      <c r="A11" s="8" t="s">
        <v>15</v>
      </c>
      <c r="B11" s="8" t="n">
        <f aca="false">COUNTIFS(Fahrschulen!$C$2:$C$45,"Pforzheim",Fahrschulen!$L$2:$L$45,"Kooperation aktiv")</f>
        <v>0</v>
      </c>
      <c r="C11" s="8" t="n">
        <f aca="false">COUNTIFS(Fahrschulen!$C$2:$C$45,"Enzkreis",Fahrschulen!$L$2:$L$45,"Kooperation aktiv")</f>
        <v>0</v>
      </c>
      <c r="D11" s="8" t="n">
        <f aca="false">B11+C11</f>
        <v>0</v>
      </c>
    </row>
    <row r="12" customFormat="false" ht="15" hidden="false" customHeight="true" outlineLevel="0" collapsed="false">
      <c r="A12" s="8" t="s">
        <v>16</v>
      </c>
      <c r="B12" s="8" t="n">
        <f aca="false">COUNTIFS(Fahrschulen!$C$2:$C$45,"Pforzheim",Fahrschulen!$L$2:$L$45,"Kein Interesse")</f>
        <v>0</v>
      </c>
      <c r="C12" s="8" t="n">
        <f aca="false">COUNTIFS(Fahrschulen!$C$2:$C$45,"Enzkreis",Fahrschulen!$L$2:$L$45,"Kein Interesse")</f>
        <v>0</v>
      </c>
      <c r="D12" s="8" t="n">
        <f aca="false">B12+C12</f>
        <v>0</v>
      </c>
    </row>
    <row r="13" customFormat="false" ht="15" hidden="false" customHeight="true" outlineLevel="0" collapsed="false">
      <c r="A13" s="8" t="s">
        <v>17</v>
      </c>
      <c r="B13" s="8" t="n">
        <f aca="false">COUNTIFS(Fahrschulen!$C$2:$C$45,"Pforzheim",Fahrschulen!$L$2:$L$45,"Geschlossen / existiert nicht")</f>
        <v>0</v>
      </c>
      <c r="C13" s="8" t="n">
        <f aca="false">COUNTIFS(Fahrschulen!$C$2:$C$45,"Enzkreis",Fahrschulen!$L$2:$L$45,"Geschlossen / existiert nicht")</f>
        <v>0</v>
      </c>
      <c r="D13" s="8" t="n">
        <f aca="false">B13+C13</f>
        <v>0</v>
      </c>
    </row>
    <row r="14" customFormat="false" ht="15" hidden="false" customHeight="true" outlineLevel="0" collapsed="false">
      <c r="A14" s="11" t="s">
        <v>18</v>
      </c>
      <c r="B14" s="11" t="n">
        <f aca="false">SUM(B5:B13)</f>
        <v>16</v>
      </c>
      <c r="C14" s="11" t="n">
        <f aca="false">SUM(C5:C13)</f>
        <v>28</v>
      </c>
      <c r="D14" s="11" t="n">
        <f aca="false">SUM(D5:D13)</f>
        <v>44</v>
      </c>
    </row>
    <row r="15" customFormat="false" ht="15" hidden="false" customHeight="true" outlineLevel="0" collapsed="false">
      <c r="A15" s="8"/>
      <c r="B15" s="8"/>
      <c r="C15" s="8"/>
      <c r="D15" s="8"/>
    </row>
    <row r="16" customFormat="false" ht="15" hidden="false" customHeight="true" outlineLevel="0" collapsed="false">
      <c r="A16" s="4" t="s">
        <v>19</v>
      </c>
      <c r="B16" s="5" t="s">
        <v>3</v>
      </c>
      <c r="C16" s="5" t="s">
        <v>4</v>
      </c>
      <c r="D16" s="5" t="s">
        <v>5</v>
      </c>
    </row>
    <row r="17" customFormat="false" ht="15" hidden="false" customHeight="true" outlineLevel="0" collapsed="false">
      <c r="A17" s="8" t="s">
        <v>20</v>
      </c>
      <c r="B17" s="8" t="n">
        <f aca="false">COUNTIFS(Fahrschulen!$C$2:$C$45,"Pforzheim",Fahrschulen!$K$2:$K$45,"Ja")</f>
        <v>0</v>
      </c>
      <c r="C17" s="8" t="n">
        <f aca="false">COUNTIFS(Fahrschulen!$C$2:$C$45,"Enzkreis",Fahrschulen!$K$2:$K$45,"Ja")</f>
        <v>0</v>
      </c>
      <c r="D17" s="8" t="n">
        <f aca="false">B17+C17</f>
        <v>0</v>
      </c>
    </row>
    <row r="18" customFormat="false" ht="15" hidden="false" customHeight="true" outlineLevel="0" collapsed="false">
      <c r="A18" s="8" t="s">
        <v>21</v>
      </c>
      <c r="B18" s="8" t="n">
        <f aca="false">COUNTIFS(Fahrschulen!$C$2:$C$45,"Pforzheim",Fahrschulen!$Q$2:$Q$45,"Ja")</f>
        <v>0</v>
      </c>
      <c r="C18" s="8" t="n">
        <f aca="false">COUNTIFS(Fahrschulen!$C$2:$C$45,"Enzkreis",Fahrschulen!$Q$2:$Q$45,"Ja")</f>
        <v>0</v>
      </c>
      <c r="D18" s="8" t="n">
        <f aca="false">B18+C18</f>
        <v>0</v>
      </c>
    </row>
    <row r="19" customFormat="false" ht="15" hidden="false" customHeight="true" outlineLevel="0" collapsed="false">
      <c r="A19" s="8" t="s">
        <v>22</v>
      </c>
      <c r="B19" s="8" t="n">
        <f aca="false">SUMIFS(Fahrschulen!$R$2:$R$45,Fahrschulen!$C$2:$C$45,"Pforzheim")</f>
        <v>0</v>
      </c>
      <c r="C19" s="8" t="n">
        <f aca="false">SUMIFS(Fahrschulen!$R$2:$R$45,Fahrschulen!$C$2:$C$45,"Enzkreis")</f>
        <v>0</v>
      </c>
      <c r="D19" s="8" t="n">
        <f aca="false">B19+C19</f>
        <v>0</v>
      </c>
    </row>
    <row r="20" customFormat="false" ht="15" hidden="false" customHeight="true" outlineLevel="0" collapsed="false">
      <c r="A20" s="8" t="s">
        <v>23</v>
      </c>
      <c r="B20" s="8" t="n">
        <f aca="false">SUMIFS(Fahrschulen!$S$2:$S$45,Fahrschulen!$C$2:$C$45,"Pforzheim")</f>
        <v>0</v>
      </c>
      <c r="C20" s="8" t="n">
        <f aca="false">SUMIFS(Fahrschulen!$S$2:$S$45,Fahrschulen!$C$2:$C$45,"Enzkreis")</f>
        <v>0</v>
      </c>
      <c r="D20" s="8" t="n">
        <f aca="false">B20+C20</f>
        <v>0</v>
      </c>
    </row>
    <row r="21" customFormat="false" ht="15" hidden="false" customHeight="true" outlineLevel="0" collapsed="false">
      <c r="A21" s="8" t="s">
        <v>24</v>
      </c>
      <c r="B21" s="12" t="n">
        <f aca="false">IFERROR(B20/B19,0)</f>
        <v>0</v>
      </c>
      <c r="C21" s="12" t="n">
        <f aca="false">IFERROR(C20/C19,0)</f>
        <v>0</v>
      </c>
      <c r="D21" s="12" t="n">
        <f aca="false">IFERROR(D20/D19,0)</f>
        <v>0</v>
      </c>
    </row>
    <row r="22" customFormat="false" ht="15" hidden="false" customHeight="true" outlineLevel="0" collapsed="false">
      <c r="A22" s="13" t="s">
        <v>25</v>
      </c>
      <c r="B22" s="14" t="n">
        <f aca="false">SUMIFS(Fahrschulen!$U$2:$U$45,Fahrschulen!$C$2:$C$45,"Pforzheim")</f>
        <v>0</v>
      </c>
      <c r="C22" s="14" t="n">
        <f aca="false">SUMIFS(Fahrschulen!$U$2:$U$45,Fahrschulen!$C$2:$C$45,"Enzkreis")</f>
        <v>0</v>
      </c>
      <c r="D22" s="14" t="n">
        <f aca="false">B22+C22</f>
        <v>0</v>
      </c>
    </row>
    <row r="23" customFormat="false" ht="15" hidden="false" customHeight="true" outlineLevel="0" collapsed="false">
      <c r="A23" s="15" t="s">
        <v>26</v>
      </c>
    </row>
    <row r="24" customFormat="false" ht="15" hidden="false" customHeight="true" outlineLevel="0" collapsed="false">
      <c r="A24" s="16" t="s">
        <v>27</v>
      </c>
    </row>
    <row r="25" customFormat="false" ht="15" hidden="false" customHeight="true" outlineLevel="0" collapsed="false">
      <c r="A25" s="16" t="s">
        <v>28</v>
      </c>
    </row>
    <row r="26" customFormat="false" ht="15" hidden="false" customHeight="true" outlineLevel="0" collapsed="false">
      <c r="A26" s="16" t="s">
        <v>29</v>
      </c>
    </row>
    <row r="27" customFormat="false" ht="15" hidden="false" customHeight="true" outlineLevel="0" collapsed="false">
      <c r="A27" s="1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1"/>
    <col collapsed="false" customWidth="true" hidden="false" outlineLevel="0" max="4" min="4" style="1" width="24"/>
    <col collapsed="false" customWidth="true" hidden="false" outlineLevel="0" max="5" min="5" style="1" width="38"/>
    <col collapsed="false" customWidth="true" hidden="false" outlineLevel="0" max="6" min="6" style="1" width="15"/>
    <col collapsed="false" customWidth="true" hidden="false" outlineLevel="0" max="7" min="7" style="1" width="22"/>
    <col collapsed="false" customWidth="true" hidden="false" outlineLevel="0" max="9" min="8" style="1" width="24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20"/>
    <col collapsed="false" customWidth="true" hidden="false" outlineLevel="0" max="14" min="14" style="1" width="14"/>
    <col collapsed="false" customWidth="true" hidden="false" outlineLevel="0" max="15" min="15" style="1" width="28"/>
    <col collapsed="false" customWidth="true" hidden="false" outlineLevel="0" max="17" min="16" style="1" width="14"/>
    <col collapsed="false" customWidth="true" hidden="false" outlineLevel="0" max="19" min="18" style="1" width="11"/>
    <col collapsed="false" customWidth="true" hidden="false" outlineLevel="0" max="20" min="20" style="1" width="40"/>
    <col collapsed="false" customWidth="true" hidden="false" outlineLevel="0" max="21" min="21" style="1" width="13"/>
    <col collapsed="false" customWidth="true" hidden="false" outlineLevel="0" max="22" min="22" style="0" width="14"/>
  </cols>
  <sheetData>
    <row r="1" customFormat="false" ht="31.5" hidden="false" customHeight="true" outlineLevel="0" collapsed="false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37</v>
      </c>
      <c r="H1" s="17" t="s">
        <v>38</v>
      </c>
      <c r="I1" s="17" t="s">
        <v>39</v>
      </c>
      <c r="J1" s="17" t="s">
        <v>40</v>
      </c>
      <c r="K1" s="17" t="s">
        <v>20</v>
      </c>
      <c r="L1" s="17" t="s">
        <v>2</v>
      </c>
      <c r="M1" s="17" t="s">
        <v>41</v>
      </c>
      <c r="N1" s="17" t="s">
        <v>42</v>
      </c>
      <c r="O1" s="17" t="s">
        <v>43</v>
      </c>
      <c r="P1" s="17" t="s">
        <v>44</v>
      </c>
      <c r="Q1" s="17" t="s">
        <v>45</v>
      </c>
      <c r="R1" s="17" t="s">
        <v>22</v>
      </c>
      <c r="S1" s="17" t="s">
        <v>23</v>
      </c>
      <c r="T1" s="17" t="s">
        <v>46</v>
      </c>
      <c r="U1" s="17" t="s">
        <v>47</v>
      </c>
      <c r="V1" s="17" t="s">
        <v>48</v>
      </c>
    </row>
    <row r="2" customFormat="false" ht="15" hidden="false" customHeight="true" outlineLevel="0" collapsed="false">
      <c r="A2" s="18" t="n">
        <v>1</v>
      </c>
      <c r="B2" s="18" t="s">
        <v>49</v>
      </c>
      <c r="C2" s="18" t="s">
        <v>3</v>
      </c>
      <c r="D2" s="18" t="s">
        <v>50</v>
      </c>
      <c r="E2" s="19" t="s">
        <v>51</v>
      </c>
      <c r="F2" s="18" t="s">
        <v>52</v>
      </c>
      <c r="G2" s="18"/>
      <c r="H2" s="20"/>
      <c r="I2" s="18" t="s">
        <v>53</v>
      </c>
      <c r="J2" s="19"/>
      <c r="K2" s="20" t="s">
        <v>54</v>
      </c>
      <c r="L2" s="20" t="s">
        <v>7</v>
      </c>
      <c r="M2" s="20"/>
      <c r="N2" s="21"/>
      <c r="O2" s="22"/>
      <c r="P2" s="21"/>
      <c r="Q2" s="20" t="s">
        <v>54</v>
      </c>
      <c r="R2" s="20" t="n">
        <v>0</v>
      </c>
      <c r="S2" s="20" t="n">
        <v>0</v>
      </c>
      <c r="T2" s="22"/>
      <c r="U2" s="23" t="n">
        <f aca="false">S2*Übersicht!$G$4</f>
        <v>0</v>
      </c>
      <c r="V2" s="24" t="s">
        <v>7</v>
      </c>
    </row>
    <row r="3" customFormat="false" ht="15" hidden="false" customHeight="true" outlineLevel="0" collapsed="false">
      <c r="A3" s="18" t="n">
        <v>2</v>
      </c>
      <c r="B3" s="18" t="s">
        <v>55</v>
      </c>
      <c r="C3" s="18" t="s">
        <v>3</v>
      </c>
      <c r="D3" s="18" t="s">
        <v>50</v>
      </c>
      <c r="E3" s="19" t="s">
        <v>56</v>
      </c>
      <c r="F3" s="18" t="s">
        <v>57</v>
      </c>
      <c r="G3" s="18"/>
      <c r="H3" s="20"/>
      <c r="I3" s="18" t="s">
        <v>53</v>
      </c>
      <c r="J3" s="19" t="s">
        <v>58</v>
      </c>
      <c r="K3" s="20" t="s">
        <v>54</v>
      </c>
      <c r="L3" s="20" t="s">
        <v>7</v>
      </c>
      <c r="M3" s="20"/>
      <c r="N3" s="21"/>
      <c r="O3" s="22"/>
      <c r="P3" s="21"/>
      <c r="Q3" s="20" t="s">
        <v>54</v>
      </c>
      <c r="R3" s="20" t="n">
        <v>0</v>
      </c>
      <c r="S3" s="20" t="n">
        <v>0</v>
      </c>
      <c r="T3" s="22"/>
      <c r="U3" s="23" t="n">
        <f aca="false">S3*Übersicht!$G$4</f>
        <v>0</v>
      </c>
      <c r="V3" s="24" t="s">
        <v>7</v>
      </c>
    </row>
    <row r="4" customFormat="false" ht="15" hidden="false" customHeight="true" outlineLevel="0" collapsed="false">
      <c r="A4" s="18" t="n">
        <v>3</v>
      </c>
      <c r="B4" s="18" t="s">
        <v>59</v>
      </c>
      <c r="C4" s="18" t="s">
        <v>3</v>
      </c>
      <c r="D4" s="18" t="s">
        <v>60</v>
      </c>
      <c r="E4" s="19" t="s">
        <v>61</v>
      </c>
      <c r="F4" s="18" t="s">
        <v>62</v>
      </c>
      <c r="G4" s="18"/>
      <c r="H4" s="20"/>
      <c r="I4" s="18" t="s">
        <v>53</v>
      </c>
      <c r="J4" s="19"/>
      <c r="K4" s="20" t="s">
        <v>54</v>
      </c>
      <c r="L4" s="20" t="s">
        <v>7</v>
      </c>
      <c r="M4" s="20"/>
      <c r="N4" s="21"/>
      <c r="O4" s="22"/>
      <c r="P4" s="21"/>
      <c r="Q4" s="20" t="s">
        <v>54</v>
      </c>
      <c r="R4" s="20" t="n">
        <v>0</v>
      </c>
      <c r="S4" s="20" t="n">
        <v>0</v>
      </c>
      <c r="T4" s="22"/>
      <c r="U4" s="23" t="n">
        <f aca="false">S4*Übersicht!$G$4</f>
        <v>0</v>
      </c>
      <c r="V4" s="24" t="s">
        <v>7</v>
      </c>
    </row>
    <row r="5" customFormat="false" ht="15" hidden="false" customHeight="true" outlineLevel="0" collapsed="false">
      <c r="A5" s="18" t="n">
        <v>4</v>
      </c>
      <c r="B5" s="18" t="s">
        <v>63</v>
      </c>
      <c r="C5" s="18" t="s">
        <v>3</v>
      </c>
      <c r="D5" s="18" t="s">
        <v>64</v>
      </c>
      <c r="E5" s="19" t="s">
        <v>65</v>
      </c>
      <c r="F5" s="18" t="s">
        <v>66</v>
      </c>
      <c r="G5" s="18"/>
      <c r="H5" s="20"/>
      <c r="I5" s="18" t="s">
        <v>53</v>
      </c>
      <c r="J5" s="19"/>
      <c r="K5" s="20" t="s">
        <v>54</v>
      </c>
      <c r="L5" s="20" t="s">
        <v>7</v>
      </c>
      <c r="M5" s="20"/>
      <c r="N5" s="21"/>
      <c r="O5" s="22"/>
      <c r="P5" s="21"/>
      <c r="Q5" s="20" t="s">
        <v>54</v>
      </c>
      <c r="R5" s="20" t="n">
        <v>0</v>
      </c>
      <c r="S5" s="20" t="n">
        <v>0</v>
      </c>
      <c r="T5" s="22"/>
      <c r="U5" s="23" t="n">
        <f aca="false">S5*Übersicht!$G$4</f>
        <v>0</v>
      </c>
      <c r="V5" s="24" t="s">
        <v>7</v>
      </c>
    </row>
    <row r="6" customFormat="false" ht="15" hidden="false" customHeight="true" outlineLevel="0" collapsed="false">
      <c r="A6" s="18" t="n">
        <v>5</v>
      </c>
      <c r="B6" s="18" t="s">
        <v>67</v>
      </c>
      <c r="C6" s="18" t="s">
        <v>3</v>
      </c>
      <c r="D6" s="18" t="s">
        <v>68</v>
      </c>
      <c r="E6" s="19" t="s">
        <v>69</v>
      </c>
      <c r="F6" s="18" t="s">
        <v>70</v>
      </c>
      <c r="G6" s="18"/>
      <c r="H6" s="20"/>
      <c r="I6" s="18" t="s">
        <v>53</v>
      </c>
      <c r="J6" s="19"/>
      <c r="K6" s="20" t="s">
        <v>54</v>
      </c>
      <c r="L6" s="20" t="s">
        <v>7</v>
      </c>
      <c r="M6" s="20"/>
      <c r="N6" s="21"/>
      <c r="O6" s="22"/>
      <c r="P6" s="21"/>
      <c r="Q6" s="20" t="s">
        <v>54</v>
      </c>
      <c r="R6" s="20" t="n">
        <v>0</v>
      </c>
      <c r="S6" s="20" t="n">
        <v>0</v>
      </c>
      <c r="T6" s="22"/>
      <c r="U6" s="23" t="n">
        <f aca="false">S6*Übersicht!$G$4</f>
        <v>0</v>
      </c>
      <c r="V6" s="24" t="s">
        <v>7</v>
      </c>
    </row>
    <row r="7" customFormat="false" ht="15" hidden="false" customHeight="true" outlineLevel="0" collapsed="false">
      <c r="A7" s="18" t="n">
        <v>6</v>
      </c>
      <c r="B7" s="18" t="s">
        <v>71</v>
      </c>
      <c r="C7" s="18" t="s">
        <v>3</v>
      </c>
      <c r="D7" s="18" t="s">
        <v>72</v>
      </c>
      <c r="E7" s="19" t="s">
        <v>73</v>
      </c>
      <c r="F7" s="18" t="s">
        <v>74</v>
      </c>
      <c r="G7" s="18"/>
      <c r="H7" s="20"/>
      <c r="I7" s="18" t="s">
        <v>53</v>
      </c>
      <c r="J7" s="19" t="s">
        <v>75</v>
      </c>
      <c r="K7" s="20" t="s">
        <v>54</v>
      </c>
      <c r="L7" s="20" t="s">
        <v>7</v>
      </c>
      <c r="M7" s="20"/>
      <c r="N7" s="21"/>
      <c r="O7" s="22"/>
      <c r="P7" s="21"/>
      <c r="Q7" s="20" t="s">
        <v>54</v>
      </c>
      <c r="R7" s="20" t="n">
        <v>0</v>
      </c>
      <c r="S7" s="20" t="n">
        <v>0</v>
      </c>
      <c r="T7" s="22"/>
      <c r="U7" s="23" t="n">
        <f aca="false">S7*Übersicht!$G$4</f>
        <v>0</v>
      </c>
      <c r="V7" s="24" t="s">
        <v>7</v>
      </c>
    </row>
    <row r="8" customFormat="false" ht="15" hidden="false" customHeight="true" outlineLevel="0" collapsed="false">
      <c r="A8" s="18" t="n">
        <v>7</v>
      </c>
      <c r="B8" s="18" t="s">
        <v>76</v>
      </c>
      <c r="C8" s="18" t="s">
        <v>3</v>
      </c>
      <c r="D8" s="18" t="s">
        <v>77</v>
      </c>
      <c r="E8" s="19" t="s">
        <v>78</v>
      </c>
      <c r="F8" s="18" t="s">
        <v>79</v>
      </c>
      <c r="G8" s="18"/>
      <c r="H8" s="20"/>
      <c r="I8" s="18" t="s">
        <v>53</v>
      </c>
      <c r="J8" s="19"/>
      <c r="K8" s="20" t="s">
        <v>54</v>
      </c>
      <c r="L8" s="20" t="s">
        <v>7</v>
      </c>
      <c r="M8" s="20"/>
      <c r="N8" s="21"/>
      <c r="O8" s="22"/>
      <c r="P8" s="21"/>
      <c r="Q8" s="20" t="s">
        <v>54</v>
      </c>
      <c r="R8" s="20" t="n">
        <v>0</v>
      </c>
      <c r="S8" s="20" t="n">
        <v>0</v>
      </c>
      <c r="T8" s="22"/>
      <c r="U8" s="23" t="n">
        <f aca="false">S8*Übersicht!$G$4</f>
        <v>0</v>
      </c>
      <c r="V8" s="24" t="s">
        <v>7</v>
      </c>
    </row>
    <row r="9" customFormat="false" ht="15" hidden="false" customHeight="true" outlineLevel="0" collapsed="false">
      <c r="A9" s="18" t="n">
        <v>8</v>
      </c>
      <c r="B9" s="18" t="s">
        <v>80</v>
      </c>
      <c r="C9" s="18" t="s">
        <v>3</v>
      </c>
      <c r="D9" s="18" t="s">
        <v>72</v>
      </c>
      <c r="E9" s="19" t="s">
        <v>81</v>
      </c>
      <c r="F9" s="18" t="s">
        <v>82</v>
      </c>
      <c r="G9" s="18"/>
      <c r="H9" s="20"/>
      <c r="I9" s="18" t="s">
        <v>53</v>
      </c>
      <c r="J9" s="19"/>
      <c r="K9" s="20" t="s">
        <v>54</v>
      </c>
      <c r="L9" s="20" t="s">
        <v>7</v>
      </c>
      <c r="M9" s="20"/>
      <c r="N9" s="21"/>
      <c r="O9" s="22"/>
      <c r="P9" s="21"/>
      <c r="Q9" s="20" t="s">
        <v>54</v>
      </c>
      <c r="R9" s="20" t="n">
        <v>0</v>
      </c>
      <c r="S9" s="20" t="n">
        <v>0</v>
      </c>
      <c r="T9" s="22"/>
      <c r="U9" s="23" t="n">
        <f aca="false">S9*Übersicht!$G$4</f>
        <v>0</v>
      </c>
      <c r="V9" s="24" t="s">
        <v>7</v>
      </c>
    </row>
    <row r="10" customFormat="false" ht="15" hidden="false" customHeight="true" outlineLevel="0" collapsed="false">
      <c r="A10" s="18" t="n">
        <v>9</v>
      </c>
      <c r="B10" s="18" t="s">
        <v>83</v>
      </c>
      <c r="C10" s="18" t="s">
        <v>3</v>
      </c>
      <c r="D10" s="18" t="s">
        <v>60</v>
      </c>
      <c r="E10" s="19" t="s">
        <v>84</v>
      </c>
      <c r="F10" s="18" t="s">
        <v>85</v>
      </c>
      <c r="G10" s="18"/>
      <c r="H10" s="20"/>
      <c r="I10" s="18" t="s">
        <v>53</v>
      </c>
      <c r="J10" s="19"/>
      <c r="K10" s="20" t="s">
        <v>54</v>
      </c>
      <c r="L10" s="20" t="s">
        <v>7</v>
      </c>
      <c r="M10" s="20"/>
      <c r="N10" s="21"/>
      <c r="O10" s="22"/>
      <c r="P10" s="21"/>
      <c r="Q10" s="20" t="s">
        <v>54</v>
      </c>
      <c r="R10" s="20" t="n">
        <v>0</v>
      </c>
      <c r="S10" s="20" t="n">
        <v>0</v>
      </c>
      <c r="T10" s="22"/>
      <c r="U10" s="23" t="n">
        <f aca="false">S10*Übersicht!$G$4</f>
        <v>0</v>
      </c>
      <c r="V10" s="24" t="s">
        <v>7</v>
      </c>
    </row>
    <row r="11" customFormat="false" ht="15" hidden="false" customHeight="true" outlineLevel="0" collapsed="false">
      <c r="A11" s="18" t="n">
        <v>10</v>
      </c>
      <c r="B11" s="18" t="s">
        <v>86</v>
      </c>
      <c r="C11" s="18" t="s">
        <v>3</v>
      </c>
      <c r="D11" s="18" t="s">
        <v>60</v>
      </c>
      <c r="E11" s="19" t="s">
        <v>87</v>
      </c>
      <c r="F11" s="18" t="s">
        <v>88</v>
      </c>
      <c r="G11" s="18"/>
      <c r="H11" s="20"/>
      <c r="I11" s="18" t="s">
        <v>89</v>
      </c>
      <c r="J11" s="19"/>
      <c r="K11" s="20" t="s">
        <v>54</v>
      </c>
      <c r="L11" s="20" t="s">
        <v>7</v>
      </c>
      <c r="M11" s="20"/>
      <c r="N11" s="21"/>
      <c r="O11" s="22"/>
      <c r="P11" s="21"/>
      <c r="Q11" s="20" t="s">
        <v>54</v>
      </c>
      <c r="R11" s="20" t="n">
        <v>0</v>
      </c>
      <c r="S11" s="20" t="n">
        <v>0</v>
      </c>
      <c r="T11" s="22"/>
      <c r="U11" s="23" t="n">
        <f aca="false">S11*Übersicht!$G$4</f>
        <v>0</v>
      </c>
      <c r="V11" s="24" t="s">
        <v>7</v>
      </c>
    </row>
    <row r="12" customFormat="false" ht="15" hidden="false" customHeight="true" outlineLevel="0" collapsed="false">
      <c r="A12" s="18" t="n">
        <v>11</v>
      </c>
      <c r="B12" s="18" t="s">
        <v>90</v>
      </c>
      <c r="C12" s="18" t="s">
        <v>3</v>
      </c>
      <c r="D12" s="18" t="s">
        <v>60</v>
      </c>
      <c r="E12" s="19" t="s">
        <v>91</v>
      </c>
      <c r="F12" s="18" t="s">
        <v>92</v>
      </c>
      <c r="G12" s="18"/>
      <c r="H12" s="20"/>
      <c r="I12" s="18" t="s">
        <v>53</v>
      </c>
      <c r="J12" s="19"/>
      <c r="K12" s="20" t="s">
        <v>54</v>
      </c>
      <c r="L12" s="20" t="s">
        <v>7</v>
      </c>
      <c r="M12" s="20"/>
      <c r="N12" s="21"/>
      <c r="O12" s="22"/>
      <c r="P12" s="21"/>
      <c r="Q12" s="20" t="s">
        <v>54</v>
      </c>
      <c r="R12" s="20" t="n">
        <v>0</v>
      </c>
      <c r="S12" s="20" t="n">
        <v>0</v>
      </c>
      <c r="T12" s="22"/>
      <c r="U12" s="23" t="n">
        <f aca="false">S12*Übersicht!$G$4</f>
        <v>0</v>
      </c>
      <c r="V12" s="24" t="s">
        <v>7</v>
      </c>
    </row>
    <row r="13" customFormat="false" ht="15" hidden="false" customHeight="true" outlineLevel="0" collapsed="false">
      <c r="A13" s="18" t="n">
        <v>12</v>
      </c>
      <c r="B13" s="18" t="s">
        <v>93</v>
      </c>
      <c r="C13" s="18" t="s">
        <v>3</v>
      </c>
      <c r="D13" s="18" t="s">
        <v>50</v>
      </c>
      <c r="E13" s="19" t="s">
        <v>94</v>
      </c>
      <c r="F13" s="18" t="s">
        <v>95</v>
      </c>
      <c r="G13" s="18"/>
      <c r="H13" s="20"/>
      <c r="I13" s="18" t="s">
        <v>53</v>
      </c>
      <c r="J13" s="19"/>
      <c r="K13" s="20" t="s">
        <v>54</v>
      </c>
      <c r="L13" s="20" t="s">
        <v>7</v>
      </c>
      <c r="M13" s="20"/>
      <c r="N13" s="21"/>
      <c r="O13" s="22"/>
      <c r="P13" s="21"/>
      <c r="Q13" s="20" t="s">
        <v>54</v>
      </c>
      <c r="R13" s="20" t="n">
        <v>0</v>
      </c>
      <c r="S13" s="20" t="n">
        <v>0</v>
      </c>
      <c r="T13" s="22"/>
      <c r="U13" s="23" t="n">
        <f aca="false">S13*Übersicht!$G$4</f>
        <v>0</v>
      </c>
      <c r="V13" s="24" t="s">
        <v>7</v>
      </c>
    </row>
    <row r="14" customFormat="false" ht="15" hidden="false" customHeight="true" outlineLevel="0" collapsed="false">
      <c r="A14" s="18" t="n">
        <v>13</v>
      </c>
      <c r="B14" s="18" t="s">
        <v>96</v>
      </c>
      <c r="C14" s="18" t="s">
        <v>3</v>
      </c>
      <c r="D14" s="18" t="s">
        <v>97</v>
      </c>
      <c r="E14" s="19" t="s">
        <v>98</v>
      </c>
      <c r="F14" s="18" t="s">
        <v>99</v>
      </c>
      <c r="G14" s="18"/>
      <c r="H14" s="20"/>
      <c r="I14" s="18" t="s">
        <v>53</v>
      </c>
      <c r="J14" s="19"/>
      <c r="K14" s="20" t="s">
        <v>54</v>
      </c>
      <c r="L14" s="20" t="s">
        <v>7</v>
      </c>
      <c r="M14" s="20"/>
      <c r="N14" s="21"/>
      <c r="O14" s="22"/>
      <c r="P14" s="21"/>
      <c r="Q14" s="20" t="s">
        <v>54</v>
      </c>
      <c r="R14" s="20" t="n">
        <v>0</v>
      </c>
      <c r="S14" s="20" t="n">
        <v>0</v>
      </c>
      <c r="T14" s="22"/>
      <c r="U14" s="23" t="n">
        <f aca="false">S14*Übersicht!$G$4</f>
        <v>0</v>
      </c>
      <c r="V14" s="24" t="s">
        <v>7</v>
      </c>
    </row>
    <row r="15" customFormat="false" ht="15" hidden="false" customHeight="true" outlineLevel="0" collapsed="false">
      <c r="A15" s="18" t="n">
        <v>14</v>
      </c>
      <c r="B15" s="18" t="s">
        <v>100</v>
      </c>
      <c r="C15" s="18" t="s">
        <v>3</v>
      </c>
      <c r="D15" s="18" t="s">
        <v>72</v>
      </c>
      <c r="E15" s="19" t="s">
        <v>101</v>
      </c>
      <c r="F15" s="18" t="s">
        <v>102</v>
      </c>
      <c r="G15" s="18"/>
      <c r="H15" s="20"/>
      <c r="I15" s="18" t="s">
        <v>53</v>
      </c>
      <c r="J15" s="19"/>
      <c r="K15" s="20" t="s">
        <v>54</v>
      </c>
      <c r="L15" s="20" t="s">
        <v>7</v>
      </c>
      <c r="M15" s="20"/>
      <c r="N15" s="21"/>
      <c r="O15" s="22"/>
      <c r="P15" s="21"/>
      <c r="Q15" s="20" t="s">
        <v>54</v>
      </c>
      <c r="R15" s="20" t="n">
        <v>0</v>
      </c>
      <c r="S15" s="20" t="n">
        <v>0</v>
      </c>
      <c r="T15" s="22"/>
      <c r="U15" s="23" t="n">
        <f aca="false">S15*Übersicht!$G$4</f>
        <v>0</v>
      </c>
      <c r="V15" s="24" t="s">
        <v>7</v>
      </c>
    </row>
    <row r="16" customFormat="false" ht="23.25" hidden="false" customHeight="true" outlineLevel="0" collapsed="false">
      <c r="A16" s="18" t="n">
        <v>15</v>
      </c>
      <c r="B16" s="18" t="s">
        <v>103</v>
      </c>
      <c r="C16" s="18" t="s">
        <v>3</v>
      </c>
      <c r="D16" s="18" t="s">
        <v>104</v>
      </c>
      <c r="E16" s="19" t="s">
        <v>105</v>
      </c>
      <c r="F16" s="18" t="s">
        <v>106</v>
      </c>
      <c r="G16" s="18"/>
      <c r="H16" s="20"/>
      <c r="I16" s="18" t="s">
        <v>53</v>
      </c>
      <c r="J16" s="19" t="s">
        <v>107</v>
      </c>
      <c r="K16" s="20" t="s">
        <v>54</v>
      </c>
      <c r="L16" s="20" t="s">
        <v>7</v>
      </c>
      <c r="M16" s="20"/>
      <c r="N16" s="21"/>
      <c r="O16" s="22"/>
      <c r="P16" s="21"/>
      <c r="Q16" s="20" t="s">
        <v>54</v>
      </c>
      <c r="R16" s="20" t="n">
        <v>0</v>
      </c>
      <c r="S16" s="20" t="n">
        <v>0</v>
      </c>
      <c r="T16" s="22"/>
      <c r="U16" s="23" t="n">
        <f aca="false">S16*Übersicht!$G$4</f>
        <v>0</v>
      </c>
      <c r="V16" s="24" t="s">
        <v>7</v>
      </c>
    </row>
    <row r="17" customFormat="false" ht="23.25" hidden="false" customHeight="true" outlineLevel="0" collapsed="false">
      <c r="A17" s="18" t="n">
        <v>16</v>
      </c>
      <c r="B17" s="18" t="s">
        <v>108</v>
      </c>
      <c r="C17" s="18" t="s">
        <v>3</v>
      </c>
      <c r="D17" s="18" t="s">
        <v>3</v>
      </c>
      <c r="E17" s="19"/>
      <c r="F17" s="18"/>
      <c r="G17" s="18"/>
      <c r="H17" s="20"/>
      <c r="I17" s="18" t="s">
        <v>109</v>
      </c>
      <c r="J17" s="19" t="s">
        <v>110</v>
      </c>
      <c r="K17" s="20" t="s">
        <v>54</v>
      </c>
      <c r="L17" s="20" t="s">
        <v>7</v>
      </c>
      <c r="M17" s="20"/>
      <c r="N17" s="21"/>
      <c r="O17" s="22"/>
      <c r="P17" s="21"/>
      <c r="Q17" s="20" t="s">
        <v>54</v>
      </c>
      <c r="R17" s="20" t="n">
        <v>0</v>
      </c>
      <c r="S17" s="20" t="n">
        <v>0</v>
      </c>
      <c r="T17" s="22"/>
      <c r="U17" s="23" t="n">
        <f aca="false">S17*Übersicht!$G$4</f>
        <v>0</v>
      </c>
      <c r="V17" s="24" t="s">
        <v>7</v>
      </c>
    </row>
    <row r="18" customFormat="false" ht="15" hidden="false" customHeight="true" outlineLevel="0" collapsed="false">
      <c r="A18" s="18" t="n">
        <v>17</v>
      </c>
      <c r="B18" s="18" t="s">
        <v>111</v>
      </c>
      <c r="C18" s="18" t="s">
        <v>4</v>
      </c>
      <c r="D18" s="18" t="s">
        <v>112</v>
      </c>
      <c r="E18" s="19" t="s">
        <v>113</v>
      </c>
      <c r="F18" s="18" t="s">
        <v>114</v>
      </c>
      <c r="G18" s="18"/>
      <c r="H18" s="20"/>
      <c r="I18" s="18" t="s">
        <v>115</v>
      </c>
      <c r="J18" s="19" t="s">
        <v>116</v>
      </c>
      <c r="K18" s="20" t="s">
        <v>54</v>
      </c>
      <c r="L18" s="20" t="s">
        <v>7</v>
      </c>
      <c r="M18" s="20"/>
      <c r="N18" s="21"/>
      <c r="O18" s="22"/>
      <c r="P18" s="21"/>
      <c r="Q18" s="20" t="s">
        <v>54</v>
      </c>
      <c r="R18" s="20" t="n">
        <v>0</v>
      </c>
      <c r="S18" s="20" t="n">
        <v>0</v>
      </c>
      <c r="T18" s="22"/>
      <c r="U18" s="23" t="n">
        <f aca="false">S18*Übersicht!$G$4</f>
        <v>0</v>
      </c>
      <c r="V18" s="24" t="s">
        <v>7</v>
      </c>
    </row>
    <row r="19" customFormat="false" ht="15" hidden="false" customHeight="true" outlineLevel="0" collapsed="false">
      <c r="A19" s="18" t="n">
        <v>18</v>
      </c>
      <c r="B19" s="18" t="s">
        <v>117</v>
      </c>
      <c r="C19" s="18" t="s">
        <v>4</v>
      </c>
      <c r="D19" s="18" t="s">
        <v>118</v>
      </c>
      <c r="E19" s="19" t="s">
        <v>119</v>
      </c>
      <c r="F19" s="18" t="s">
        <v>120</v>
      </c>
      <c r="G19" s="18"/>
      <c r="H19" s="20"/>
      <c r="I19" s="18" t="s">
        <v>121</v>
      </c>
      <c r="J19" s="19"/>
      <c r="K19" s="20" t="s">
        <v>54</v>
      </c>
      <c r="L19" s="20" t="s">
        <v>7</v>
      </c>
      <c r="M19" s="20"/>
      <c r="N19" s="21"/>
      <c r="O19" s="22"/>
      <c r="P19" s="21"/>
      <c r="Q19" s="20" t="s">
        <v>54</v>
      </c>
      <c r="R19" s="20" t="n">
        <v>0</v>
      </c>
      <c r="S19" s="20" t="n">
        <v>0</v>
      </c>
      <c r="T19" s="22"/>
      <c r="U19" s="23" t="n">
        <f aca="false">S19*Übersicht!$G$4</f>
        <v>0</v>
      </c>
      <c r="V19" s="24" t="s">
        <v>7</v>
      </c>
    </row>
    <row r="20" customFormat="false" ht="23.25" hidden="false" customHeight="true" outlineLevel="0" collapsed="false">
      <c r="A20" s="18" t="n">
        <v>19</v>
      </c>
      <c r="B20" s="18" t="s">
        <v>122</v>
      </c>
      <c r="C20" s="18" t="s">
        <v>4</v>
      </c>
      <c r="D20" s="18" t="s">
        <v>123</v>
      </c>
      <c r="E20" s="19" t="s">
        <v>124</v>
      </c>
      <c r="F20" s="18" t="s">
        <v>125</v>
      </c>
      <c r="G20" s="18"/>
      <c r="H20" s="20"/>
      <c r="I20" s="18" t="s">
        <v>121</v>
      </c>
      <c r="J20" s="19"/>
      <c r="K20" s="20" t="s">
        <v>54</v>
      </c>
      <c r="L20" s="20" t="s">
        <v>7</v>
      </c>
      <c r="M20" s="20"/>
      <c r="N20" s="21"/>
      <c r="O20" s="22"/>
      <c r="P20" s="21"/>
      <c r="Q20" s="20" t="s">
        <v>54</v>
      </c>
      <c r="R20" s="20" t="n">
        <v>0</v>
      </c>
      <c r="S20" s="20" t="n">
        <v>0</v>
      </c>
      <c r="T20" s="22"/>
      <c r="U20" s="23" t="n">
        <f aca="false">S20*Übersicht!$G$4</f>
        <v>0</v>
      </c>
      <c r="V20" s="24" t="s">
        <v>7</v>
      </c>
    </row>
    <row r="21" customFormat="false" ht="15" hidden="false" customHeight="true" outlineLevel="0" collapsed="false">
      <c r="A21" s="18" t="n">
        <v>20</v>
      </c>
      <c r="B21" s="18" t="s">
        <v>126</v>
      </c>
      <c r="C21" s="18" t="s">
        <v>4</v>
      </c>
      <c r="D21" s="18" t="s">
        <v>127</v>
      </c>
      <c r="E21" s="19" t="s">
        <v>128</v>
      </c>
      <c r="F21" s="18" t="s">
        <v>129</v>
      </c>
      <c r="G21" s="18"/>
      <c r="H21" s="20"/>
      <c r="I21" s="18" t="s">
        <v>130</v>
      </c>
      <c r="J21" s="19" t="s">
        <v>131</v>
      </c>
      <c r="K21" s="20" t="s">
        <v>54</v>
      </c>
      <c r="L21" s="20" t="s">
        <v>7</v>
      </c>
      <c r="M21" s="20"/>
      <c r="N21" s="21"/>
      <c r="O21" s="22"/>
      <c r="P21" s="21"/>
      <c r="Q21" s="20" t="s">
        <v>54</v>
      </c>
      <c r="R21" s="20" t="n">
        <v>0</v>
      </c>
      <c r="S21" s="20" t="n">
        <v>0</v>
      </c>
      <c r="T21" s="22"/>
      <c r="U21" s="23" t="n">
        <f aca="false">S21*Übersicht!$G$4</f>
        <v>0</v>
      </c>
      <c r="V21" s="24" t="s">
        <v>7</v>
      </c>
    </row>
    <row r="22" customFormat="false" ht="15" hidden="false" customHeight="true" outlineLevel="0" collapsed="false">
      <c r="A22" s="18" t="n">
        <v>21</v>
      </c>
      <c r="B22" s="18" t="s">
        <v>132</v>
      </c>
      <c r="C22" s="18" t="s">
        <v>4</v>
      </c>
      <c r="D22" s="18" t="s">
        <v>133</v>
      </c>
      <c r="E22" s="19" t="s">
        <v>134</v>
      </c>
      <c r="F22" s="18"/>
      <c r="G22" s="18" t="s">
        <v>135</v>
      </c>
      <c r="H22" s="20"/>
      <c r="I22" s="18" t="s">
        <v>136</v>
      </c>
      <c r="J22" s="19" t="s">
        <v>137</v>
      </c>
      <c r="K22" s="20" t="s">
        <v>54</v>
      </c>
      <c r="L22" s="20" t="s">
        <v>7</v>
      </c>
      <c r="M22" s="20"/>
      <c r="N22" s="21"/>
      <c r="O22" s="22"/>
      <c r="P22" s="21"/>
      <c r="Q22" s="20" t="s">
        <v>54</v>
      </c>
      <c r="R22" s="20" t="n">
        <v>0</v>
      </c>
      <c r="S22" s="20" t="n">
        <v>0</v>
      </c>
      <c r="T22" s="22"/>
      <c r="U22" s="23" t="n">
        <f aca="false">S22*Übersicht!$G$4</f>
        <v>0</v>
      </c>
      <c r="V22" s="24" t="s">
        <v>7</v>
      </c>
    </row>
    <row r="23" customFormat="false" ht="15" hidden="false" customHeight="true" outlineLevel="0" collapsed="false">
      <c r="A23" s="18" t="n">
        <v>22</v>
      </c>
      <c r="B23" s="18" t="s">
        <v>138</v>
      </c>
      <c r="C23" s="18" t="s">
        <v>4</v>
      </c>
      <c r="D23" s="18" t="s">
        <v>139</v>
      </c>
      <c r="E23" s="19" t="s">
        <v>140</v>
      </c>
      <c r="F23" s="18"/>
      <c r="G23" s="18"/>
      <c r="H23" s="20"/>
      <c r="I23" s="18" t="s">
        <v>141</v>
      </c>
      <c r="J23" s="19"/>
      <c r="K23" s="20" t="s">
        <v>54</v>
      </c>
      <c r="L23" s="20" t="s">
        <v>7</v>
      </c>
      <c r="M23" s="20"/>
      <c r="N23" s="21"/>
      <c r="O23" s="22"/>
      <c r="P23" s="21"/>
      <c r="Q23" s="20" t="s">
        <v>54</v>
      </c>
      <c r="R23" s="20" t="n">
        <v>0</v>
      </c>
      <c r="S23" s="20" t="n">
        <v>0</v>
      </c>
      <c r="T23" s="22"/>
      <c r="U23" s="23" t="n">
        <f aca="false">S23*Übersicht!$G$4</f>
        <v>0</v>
      </c>
      <c r="V23" s="24" t="s">
        <v>7</v>
      </c>
    </row>
    <row r="24" customFormat="false" ht="15" hidden="false" customHeight="true" outlineLevel="0" collapsed="false">
      <c r="A24" s="18" t="n">
        <v>23</v>
      </c>
      <c r="B24" s="18" t="s">
        <v>142</v>
      </c>
      <c r="C24" s="18" t="s">
        <v>4</v>
      </c>
      <c r="D24" s="18" t="s">
        <v>143</v>
      </c>
      <c r="E24" s="19" t="s">
        <v>144</v>
      </c>
      <c r="F24" s="18"/>
      <c r="G24" s="18" t="s">
        <v>145</v>
      </c>
      <c r="H24" s="20"/>
      <c r="I24" s="18" t="s">
        <v>146</v>
      </c>
      <c r="J24" s="19" t="s">
        <v>147</v>
      </c>
      <c r="K24" s="20" t="s">
        <v>54</v>
      </c>
      <c r="L24" s="20" t="s">
        <v>7</v>
      </c>
      <c r="M24" s="20"/>
      <c r="N24" s="21"/>
      <c r="O24" s="22"/>
      <c r="P24" s="21"/>
      <c r="Q24" s="20" t="s">
        <v>54</v>
      </c>
      <c r="R24" s="20" t="n">
        <v>0</v>
      </c>
      <c r="S24" s="20" t="n">
        <v>0</v>
      </c>
      <c r="T24" s="22"/>
      <c r="U24" s="23" t="n">
        <f aca="false">S24*Übersicht!$G$4</f>
        <v>0</v>
      </c>
      <c r="V24" s="24" t="s">
        <v>7</v>
      </c>
    </row>
    <row r="25" customFormat="false" ht="15" hidden="false" customHeight="true" outlineLevel="0" collapsed="false">
      <c r="A25" s="18" t="n">
        <v>24</v>
      </c>
      <c r="B25" s="18" t="s">
        <v>148</v>
      </c>
      <c r="C25" s="18" t="s">
        <v>4</v>
      </c>
      <c r="D25" s="18" t="s">
        <v>149</v>
      </c>
      <c r="E25" s="19"/>
      <c r="F25" s="18"/>
      <c r="G25" s="18"/>
      <c r="H25" s="20"/>
      <c r="I25" s="18" t="s">
        <v>150</v>
      </c>
      <c r="J25" s="19" t="s">
        <v>151</v>
      </c>
      <c r="K25" s="20" t="s">
        <v>54</v>
      </c>
      <c r="L25" s="20" t="s">
        <v>7</v>
      </c>
      <c r="M25" s="20"/>
      <c r="N25" s="21"/>
      <c r="O25" s="22"/>
      <c r="P25" s="21"/>
      <c r="Q25" s="20" t="s">
        <v>54</v>
      </c>
      <c r="R25" s="20" t="n">
        <v>0</v>
      </c>
      <c r="S25" s="20" t="n">
        <v>0</v>
      </c>
      <c r="T25" s="22"/>
      <c r="U25" s="23" t="n">
        <f aca="false">S25*Übersicht!$G$4</f>
        <v>0</v>
      </c>
      <c r="V25" s="24" t="s">
        <v>7</v>
      </c>
    </row>
    <row r="26" customFormat="false" ht="15" hidden="false" customHeight="true" outlineLevel="0" collapsed="false">
      <c r="A26" s="18" t="n">
        <v>25</v>
      </c>
      <c r="B26" s="18" t="s">
        <v>152</v>
      </c>
      <c r="C26" s="18" t="s">
        <v>4</v>
      </c>
      <c r="D26" s="18" t="s">
        <v>153</v>
      </c>
      <c r="E26" s="19" t="s">
        <v>154</v>
      </c>
      <c r="F26" s="18"/>
      <c r="G26" s="18"/>
      <c r="H26" s="20"/>
      <c r="I26" s="18" t="s">
        <v>155</v>
      </c>
      <c r="J26" s="19"/>
      <c r="K26" s="20" t="s">
        <v>54</v>
      </c>
      <c r="L26" s="20" t="s">
        <v>7</v>
      </c>
      <c r="M26" s="20"/>
      <c r="N26" s="21"/>
      <c r="O26" s="22"/>
      <c r="P26" s="21"/>
      <c r="Q26" s="20" t="s">
        <v>54</v>
      </c>
      <c r="R26" s="20" t="n">
        <v>0</v>
      </c>
      <c r="S26" s="20" t="n">
        <v>0</v>
      </c>
      <c r="T26" s="22"/>
      <c r="U26" s="23" t="n">
        <f aca="false">S26*Übersicht!$G$4</f>
        <v>0</v>
      </c>
      <c r="V26" s="24" t="s">
        <v>7</v>
      </c>
    </row>
    <row r="27" customFormat="false" ht="15" hidden="false" customHeight="true" outlineLevel="0" collapsed="false">
      <c r="A27" s="18" t="n">
        <v>26</v>
      </c>
      <c r="B27" s="18" t="s">
        <v>156</v>
      </c>
      <c r="C27" s="18" t="s">
        <v>4</v>
      </c>
      <c r="D27" s="18" t="s">
        <v>153</v>
      </c>
      <c r="E27" s="19" t="s">
        <v>157</v>
      </c>
      <c r="F27" s="18"/>
      <c r="G27" s="18"/>
      <c r="H27" s="20"/>
      <c r="I27" s="18" t="s">
        <v>158</v>
      </c>
      <c r="J27" s="19"/>
      <c r="K27" s="20" t="s">
        <v>54</v>
      </c>
      <c r="L27" s="20" t="s">
        <v>7</v>
      </c>
      <c r="M27" s="20"/>
      <c r="N27" s="21"/>
      <c r="O27" s="22"/>
      <c r="P27" s="21"/>
      <c r="Q27" s="20" t="s">
        <v>54</v>
      </c>
      <c r="R27" s="20" t="n">
        <v>0</v>
      </c>
      <c r="S27" s="20" t="n">
        <v>0</v>
      </c>
      <c r="T27" s="22"/>
      <c r="U27" s="23" t="n">
        <f aca="false">S27*Übersicht!$G$4</f>
        <v>0</v>
      </c>
      <c r="V27" s="24" t="s">
        <v>7</v>
      </c>
    </row>
    <row r="28" customFormat="false" ht="15" hidden="false" customHeight="true" outlineLevel="0" collapsed="false">
      <c r="A28" s="18" t="n">
        <v>27</v>
      </c>
      <c r="B28" s="18" t="s">
        <v>159</v>
      </c>
      <c r="C28" s="18" t="s">
        <v>4</v>
      </c>
      <c r="D28" s="18" t="s">
        <v>153</v>
      </c>
      <c r="E28" s="19" t="s">
        <v>160</v>
      </c>
      <c r="F28" s="18"/>
      <c r="G28" s="18"/>
      <c r="H28" s="20"/>
      <c r="I28" s="18" t="s">
        <v>158</v>
      </c>
      <c r="J28" s="19"/>
      <c r="K28" s="20" t="s">
        <v>54</v>
      </c>
      <c r="L28" s="20" t="s">
        <v>7</v>
      </c>
      <c r="M28" s="20"/>
      <c r="N28" s="21"/>
      <c r="O28" s="22"/>
      <c r="P28" s="21"/>
      <c r="Q28" s="20" t="s">
        <v>54</v>
      </c>
      <c r="R28" s="20" t="n">
        <v>0</v>
      </c>
      <c r="S28" s="20" t="n">
        <v>0</v>
      </c>
      <c r="T28" s="22"/>
      <c r="U28" s="23" t="n">
        <f aca="false">S28*Übersicht!$G$4</f>
        <v>0</v>
      </c>
      <c r="V28" s="24" t="s">
        <v>7</v>
      </c>
    </row>
    <row r="29" customFormat="false" ht="15" hidden="false" customHeight="true" outlineLevel="0" collapsed="false">
      <c r="A29" s="18" t="n">
        <v>28</v>
      </c>
      <c r="B29" s="18" t="s">
        <v>161</v>
      </c>
      <c r="C29" s="18" t="s">
        <v>4</v>
      </c>
      <c r="D29" s="18" t="s">
        <v>162</v>
      </c>
      <c r="E29" s="19" t="s">
        <v>163</v>
      </c>
      <c r="F29" s="18"/>
      <c r="G29" s="18"/>
      <c r="H29" s="20"/>
      <c r="I29" s="18" t="s">
        <v>121</v>
      </c>
      <c r="J29" s="19"/>
      <c r="K29" s="20" t="s">
        <v>54</v>
      </c>
      <c r="L29" s="20" t="s">
        <v>7</v>
      </c>
      <c r="M29" s="20"/>
      <c r="N29" s="21"/>
      <c r="O29" s="22"/>
      <c r="P29" s="21"/>
      <c r="Q29" s="20" t="s">
        <v>54</v>
      </c>
      <c r="R29" s="20" t="n">
        <v>0</v>
      </c>
      <c r="S29" s="20" t="n">
        <v>0</v>
      </c>
      <c r="T29" s="22"/>
      <c r="U29" s="23" t="n">
        <f aca="false">S29*Übersicht!$G$4</f>
        <v>0</v>
      </c>
      <c r="V29" s="24" t="s">
        <v>7</v>
      </c>
    </row>
    <row r="30" customFormat="false" ht="15" hidden="false" customHeight="true" outlineLevel="0" collapsed="false">
      <c r="A30" s="18" t="n">
        <v>29</v>
      </c>
      <c r="B30" s="18" t="s">
        <v>164</v>
      </c>
      <c r="C30" s="18" t="s">
        <v>4</v>
      </c>
      <c r="D30" s="18" t="s">
        <v>165</v>
      </c>
      <c r="E30" s="19" t="s">
        <v>166</v>
      </c>
      <c r="F30" s="18"/>
      <c r="G30" s="18"/>
      <c r="H30" s="20"/>
      <c r="I30" s="18" t="s">
        <v>167</v>
      </c>
      <c r="J30" s="19"/>
      <c r="K30" s="20" t="s">
        <v>54</v>
      </c>
      <c r="L30" s="20" t="s">
        <v>7</v>
      </c>
      <c r="M30" s="20"/>
      <c r="N30" s="21"/>
      <c r="O30" s="22"/>
      <c r="P30" s="21"/>
      <c r="Q30" s="20" t="s">
        <v>54</v>
      </c>
      <c r="R30" s="20" t="n">
        <v>0</v>
      </c>
      <c r="S30" s="20" t="n">
        <v>0</v>
      </c>
      <c r="T30" s="22"/>
      <c r="U30" s="23" t="n">
        <f aca="false">S30*Übersicht!$G$4</f>
        <v>0</v>
      </c>
      <c r="V30" s="24" t="s">
        <v>7</v>
      </c>
    </row>
    <row r="31" customFormat="false" ht="15" hidden="false" customHeight="true" outlineLevel="0" collapsed="false">
      <c r="A31" s="18" t="n">
        <v>30</v>
      </c>
      <c r="B31" s="18" t="s">
        <v>168</v>
      </c>
      <c r="C31" s="18" t="s">
        <v>4</v>
      </c>
      <c r="D31" s="18" t="s">
        <v>169</v>
      </c>
      <c r="E31" s="19" t="s">
        <v>170</v>
      </c>
      <c r="F31" s="18"/>
      <c r="G31" s="18"/>
      <c r="H31" s="20"/>
      <c r="I31" s="18" t="s">
        <v>171</v>
      </c>
      <c r="J31" s="19" t="s">
        <v>172</v>
      </c>
      <c r="K31" s="20" t="s">
        <v>54</v>
      </c>
      <c r="L31" s="20" t="s">
        <v>7</v>
      </c>
      <c r="M31" s="20"/>
      <c r="N31" s="21"/>
      <c r="O31" s="22"/>
      <c r="P31" s="21"/>
      <c r="Q31" s="20" t="s">
        <v>54</v>
      </c>
      <c r="R31" s="20" t="n">
        <v>0</v>
      </c>
      <c r="S31" s="20" t="n">
        <v>0</v>
      </c>
      <c r="T31" s="22"/>
      <c r="U31" s="23" t="n">
        <f aca="false">S31*Übersicht!$G$4</f>
        <v>0</v>
      </c>
      <c r="V31" s="24" t="s">
        <v>7</v>
      </c>
    </row>
    <row r="32" customFormat="false" ht="15" hidden="false" customHeight="true" outlineLevel="0" collapsed="false">
      <c r="A32" s="18" t="n">
        <v>31</v>
      </c>
      <c r="B32" s="18" t="s">
        <v>173</v>
      </c>
      <c r="C32" s="18" t="s">
        <v>4</v>
      </c>
      <c r="D32" s="18" t="s">
        <v>174</v>
      </c>
      <c r="E32" s="19" t="s">
        <v>175</v>
      </c>
      <c r="F32" s="18"/>
      <c r="G32" s="18"/>
      <c r="H32" s="20"/>
      <c r="I32" s="18" t="s">
        <v>121</v>
      </c>
      <c r="J32" s="19"/>
      <c r="K32" s="20" t="s">
        <v>54</v>
      </c>
      <c r="L32" s="20" t="s">
        <v>7</v>
      </c>
      <c r="M32" s="20"/>
      <c r="N32" s="21"/>
      <c r="O32" s="22"/>
      <c r="P32" s="21"/>
      <c r="Q32" s="20" t="s">
        <v>54</v>
      </c>
      <c r="R32" s="20" t="n">
        <v>0</v>
      </c>
      <c r="S32" s="20" t="n">
        <v>0</v>
      </c>
      <c r="T32" s="22"/>
      <c r="U32" s="23" t="n">
        <f aca="false">S32*Übersicht!$G$4</f>
        <v>0</v>
      </c>
      <c r="V32" s="24" t="s">
        <v>7</v>
      </c>
    </row>
    <row r="33" customFormat="false" ht="15" hidden="false" customHeight="true" outlineLevel="0" collapsed="false">
      <c r="A33" s="18" t="n">
        <v>32</v>
      </c>
      <c r="B33" s="18" t="s">
        <v>176</v>
      </c>
      <c r="C33" s="18" t="s">
        <v>4</v>
      </c>
      <c r="D33" s="18" t="s">
        <v>174</v>
      </c>
      <c r="E33" s="19" t="s">
        <v>177</v>
      </c>
      <c r="F33" s="18"/>
      <c r="G33" s="18"/>
      <c r="H33" s="20"/>
      <c r="I33" s="18" t="s">
        <v>121</v>
      </c>
      <c r="J33" s="19"/>
      <c r="K33" s="20" t="s">
        <v>54</v>
      </c>
      <c r="L33" s="20" t="s">
        <v>7</v>
      </c>
      <c r="M33" s="20"/>
      <c r="N33" s="21"/>
      <c r="O33" s="22"/>
      <c r="P33" s="21"/>
      <c r="Q33" s="20" t="s">
        <v>54</v>
      </c>
      <c r="R33" s="20" t="n">
        <v>0</v>
      </c>
      <c r="S33" s="20" t="n">
        <v>0</v>
      </c>
      <c r="T33" s="22"/>
      <c r="U33" s="23" t="n">
        <f aca="false">S33*Übersicht!$G$4</f>
        <v>0</v>
      </c>
      <c r="V33" s="24" t="s">
        <v>7</v>
      </c>
    </row>
    <row r="34" customFormat="false" ht="15" hidden="false" customHeight="true" outlineLevel="0" collapsed="false">
      <c r="A34" s="18" t="n">
        <v>33</v>
      </c>
      <c r="B34" s="18" t="s">
        <v>178</v>
      </c>
      <c r="C34" s="18" t="s">
        <v>4</v>
      </c>
      <c r="D34" s="18" t="s">
        <v>174</v>
      </c>
      <c r="E34" s="19" t="s">
        <v>179</v>
      </c>
      <c r="F34" s="18"/>
      <c r="G34" s="18"/>
      <c r="H34" s="20"/>
      <c r="I34" s="18" t="s">
        <v>121</v>
      </c>
      <c r="J34" s="19" t="s">
        <v>180</v>
      </c>
      <c r="K34" s="20" t="s">
        <v>54</v>
      </c>
      <c r="L34" s="20" t="s">
        <v>7</v>
      </c>
      <c r="M34" s="20"/>
      <c r="N34" s="21"/>
      <c r="O34" s="22"/>
      <c r="P34" s="21"/>
      <c r="Q34" s="20" t="s">
        <v>54</v>
      </c>
      <c r="R34" s="20" t="n">
        <v>0</v>
      </c>
      <c r="S34" s="20" t="n">
        <v>0</v>
      </c>
      <c r="T34" s="22"/>
      <c r="U34" s="23" t="n">
        <f aca="false">S34*Übersicht!$G$4</f>
        <v>0</v>
      </c>
      <c r="V34" s="24" t="s">
        <v>7</v>
      </c>
    </row>
    <row r="35" customFormat="false" ht="15" hidden="false" customHeight="true" outlineLevel="0" collapsed="false">
      <c r="A35" s="18" t="n">
        <v>34</v>
      </c>
      <c r="B35" s="18" t="s">
        <v>181</v>
      </c>
      <c r="C35" s="18" t="s">
        <v>4</v>
      </c>
      <c r="D35" s="18" t="s">
        <v>182</v>
      </c>
      <c r="E35" s="19" t="s">
        <v>183</v>
      </c>
      <c r="F35" s="18"/>
      <c r="G35" s="18"/>
      <c r="H35" s="20"/>
      <c r="I35" s="18" t="s">
        <v>158</v>
      </c>
      <c r="J35" s="19" t="s">
        <v>184</v>
      </c>
      <c r="K35" s="20" t="s">
        <v>54</v>
      </c>
      <c r="L35" s="20" t="s">
        <v>7</v>
      </c>
      <c r="M35" s="20"/>
      <c r="N35" s="21"/>
      <c r="O35" s="22"/>
      <c r="P35" s="21"/>
      <c r="Q35" s="20" t="s">
        <v>54</v>
      </c>
      <c r="R35" s="20" t="n">
        <v>0</v>
      </c>
      <c r="S35" s="20" t="n">
        <v>0</v>
      </c>
      <c r="T35" s="22"/>
      <c r="U35" s="23" t="n">
        <f aca="false">S35*Übersicht!$G$4</f>
        <v>0</v>
      </c>
      <c r="V35" s="24" t="s">
        <v>7</v>
      </c>
    </row>
    <row r="36" customFormat="false" ht="15" hidden="false" customHeight="true" outlineLevel="0" collapsed="false">
      <c r="A36" s="18" t="n">
        <v>35</v>
      </c>
      <c r="B36" s="18" t="s">
        <v>185</v>
      </c>
      <c r="C36" s="18" t="s">
        <v>4</v>
      </c>
      <c r="D36" s="18" t="s">
        <v>186</v>
      </c>
      <c r="E36" s="19" t="s">
        <v>187</v>
      </c>
      <c r="F36" s="18"/>
      <c r="G36" s="18"/>
      <c r="H36" s="20"/>
      <c r="I36" s="18" t="s">
        <v>188</v>
      </c>
      <c r="J36" s="19" t="s">
        <v>189</v>
      </c>
      <c r="K36" s="20" t="s">
        <v>54</v>
      </c>
      <c r="L36" s="20" t="s">
        <v>7</v>
      </c>
      <c r="M36" s="20"/>
      <c r="N36" s="21"/>
      <c r="O36" s="22"/>
      <c r="P36" s="21"/>
      <c r="Q36" s="20" t="s">
        <v>54</v>
      </c>
      <c r="R36" s="20" t="n">
        <v>0</v>
      </c>
      <c r="S36" s="20" t="n">
        <v>0</v>
      </c>
      <c r="T36" s="22"/>
      <c r="U36" s="23" t="n">
        <f aca="false">S36*Übersicht!$G$4</f>
        <v>0</v>
      </c>
      <c r="V36" s="24" t="s">
        <v>7</v>
      </c>
    </row>
    <row r="37" customFormat="false" ht="15" hidden="false" customHeight="true" outlineLevel="0" collapsed="false">
      <c r="A37" s="18" t="n">
        <v>36</v>
      </c>
      <c r="B37" s="18" t="s">
        <v>190</v>
      </c>
      <c r="C37" s="18" t="s">
        <v>4</v>
      </c>
      <c r="D37" s="18" t="s">
        <v>186</v>
      </c>
      <c r="E37" s="19"/>
      <c r="F37" s="18"/>
      <c r="G37" s="18"/>
      <c r="H37" s="20"/>
      <c r="I37" s="18" t="s">
        <v>188</v>
      </c>
      <c r="J37" s="19" t="s">
        <v>191</v>
      </c>
      <c r="K37" s="20" t="s">
        <v>54</v>
      </c>
      <c r="L37" s="20" t="s">
        <v>7</v>
      </c>
      <c r="M37" s="20"/>
      <c r="N37" s="21"/>
      <c r="O37" s="22"/>
      <c r="P37" s="21"/>
      <c r="Q37" s="20" t="s">
        <v>54</v>
      </c>
      <c r="R37" s="20" t="n">
        <v>0</v>
      </c>
      <c r="S37" s="20" t="n">
        <v>0</v>
      </c>
      <c r="T37" s="22"/>
      <c r="U37" s="23" t="n">
        <f aca="false">S37*Übersicht!$G$4</f>
        <v>0</v>
      </c>
      <c r="V37" s="24" t="s">
        <v>7</v>
      </c>
    </row>
    <row r="38" customFormat="false" ht="15" hidden="false" customHeight="true" outlineLevel="0" collapsed="false">
      <c r="A38" s="18" t="n">
        <v>37</v>
      </c>
      <c r="B38" s="18" t="s">
        <v>192</v>
      </c>
      <c r="C38" s="18" t="s">
        <v>4</v>
      </c>
      <c r="D38" s="18" t="s">
        <v>193</v>
      </c>
      <c r="E38" s="19" t="s">
        <v>194</v>
      </c>
      <c r="F38" s="18"/>
      <c r="G38" s="18"/>
      <c r="H38" s="20"/>
      <c r="I38" s="18" t="s">
        <v>195</v>
      </c>
      <c r="J38" s="19"/>
      <c r="K38" s="20" t="s">
        <v>54</v>
      </c>
      <c r="L38" s="20" t="s">
        <v>7</v>
      </c>
      <c r="M38" s="20"/>
      <c r="N38" s="21"/>
      <c r="O38" s="22"/>
      <c r="P38" s="21"/>
      <c r="Q38" s="20" t="s">
        <v>54</v>
      </c>
      <c r="R38" s="20" t="n">
        <v>0</v>
      </c>
      <c r="S38" s="20" t="n">
        <v>0</v>
      </c>
      <c r="T38" s="22"/>
      <c r="U38" s="23" t="n">
        <f aca="false">S38*Übersicht!$G$4</f>
        <v>0</v>
      </c>
      <c r="V38" s="24" t="s">
        <v>7</v>
      </c>
    </row>
    <row r="39" customFormat="false" ht="15" hidden="false" customHeight="true" outlineLevel="0" collapsed="false">
      <c r="A39" s="18" t="n">
        <v>38</v>
      </c>
      <c r="B39" s="18" t="s">
        <v>196</v>
      </c>
      <c r="C39" s="18" t="s">
        <v>4</v>
      </c>
      <c r="D39" s="18" t="s">
        <v>197</v>
      </c>
      <c r="E39" s="19" t="s">
        <v>198</v>
      </c>
      <c r="F39" s="18"/>
      <c r="G39" s="18"/>
      <c r="H39" s="20"/>
      <c r="I39" s="18" t="s">
        <v>199</v>
      </c>
      <c r="J39" s="19"/>
      <c r="K39" s="20" t="s">
        <v>54</v>
      </c>
      <c r="L39" s="20" t="s">
        <v>7</v>
      </c>
      <c r="M39" s="20"/>
      <c r="N39" s="21"/>
      <c r="O39" s="22"/>
      <c r="P39" s="21"/>
      <c r="Q39" s="20" t="s">
        <v>54</v>
      </c>
      <c r="R39" s="20" t="n">
        <v>0</v>
      </c>
      <c r="S39" s="20" t="n">
        <v>0</v>
      </c>
      <c r="T39" s="22"/>
      <c r="U39" s="23" t="n">
        <f aca="false">S39*Übersicht!$G$4</f>
        <v>0</v>
      </c>
      <c r="V39" s="24" t="s">
        <v>7</v>
      </c>
    </row>
    <row r="40" customFormat="false" ht="23.25" hidden="false" customHeight="true" outlineLevel="0" collapsed="false">
      <c r="A40" s="18" t="n">
        <v>39</v>
      </c>
      <c r="B40" s="18" t="s">
        <v>200</v>
      </c>
      <c r="C40" s="18" t="s">
        <v>4</v>
      </c>
      <c r="D40" s="18" t="s">
        <v>201</v>
      </c>
      <c r="E40" s="19" t="s">
        <v>202</v>
      </c>
      <c r="F40" s="18"/>
      <c r="G40" s="18"/>
      <c r="H40" s="20"/>
      <c r="I40" s="18" t="s">
        <v>203</v>
      </c>
      <c r="J40" s="19" t="s">
        <v>204</v>
      </c>
      <c r="K40" s="20" t="s">
        <v>54</v>
      </c>
      <c r="L40" s="20" t="s">
        <v>7</v>
      </c>
      <c r="M40" s="20"/>
      <c r="N40" s="21"/>
      <c r="O40" s="22"/>
      <c r="P40" s="21"/>
      <c r="Q40" s="20" t="s">
        <v>54</v>
      </c>
      <c r="R40" s="20" t="n">
        <v>0</v>
      </c>
      <c r="S40" s="20" t="n">
        <v>0</v>
      </c>
      <c r="T40" s="22"/>
      <c r="U40" s="23" t="n">
        <f aca="false">S40*Übersicht!$G$4</f>
        <v>0</v>
      </c>
      <c r="V40" s="24" t="s">
        <v>7</v>
      </c>
    </row>
    <row r="41" customFormat="false" ht="15" hidden="false" customHeight="true" outlineLevel="0" collapsed="false">
      <c r="A41" s="18" t="n">
        <v>40</v>
      </c>
      <c r="B41" s="18" t="s">
        <v>205</v>
      </c>
      <c r="C41" s="18" t="s">
        <v>4</v>
      </c>
      <c r="D41" s="18" t="s">
        <v>206</v>
      </c>
      <c r="E41" s="19"/>
      <c r="F41" s="18"/>
      <c r="G41" s="18"/>
      <c r="H41" s="20"/>
      <c r="I41" s="18" t="s">
        <v>207</v>
      </c>
      <c r="J41" s="19" t="s">
        <v>208</v>
      </c>
      <c r="K41" s="20" t="s">
        <v>54</v>
      </c>
      <c r="L41" s="20" t="s">
        <v>7</v>
      </c>
      <c r="M41" s="20"/>
      <c r="N41" s="21"/>
      <c r="O41" s="22"/>
      <c r="P41" s="21"/>
      <c r="Q41" s="20" t="s">
        <v>54</v>
      </c>
      <c r="R41" s="20" t="n">
        <v>0</v>
      </c>
      <c r="S41" s="20" t="n">
        <v>0</v>
      </c>
      <c r="T41" s="22"/>
      <c r="U41" s="23" t="n">
        <f aca="false">S41*Übersicht!$G$4</f>
        <v>0</v>
      </c>
      <c r="V41" s="24" t="s">
        <v>7</v>
      </c>
    </row>
    <row r="42" customFormat="false" ht="15" hidden="false" customHeight="true" outlineLevel="0" collapsed="false">
      <c r="A42" s="18" t="n">
        <v>41</v>
      </c>
      <c r="B42" s="18" t="s">
        <v>209</v>
      </c>
      <c r="C42" s="18" t="s">
        <v>4</v>
      </c>
      <c r="D42" s="18" t="s">
        <v>210</v>
      </c>
      <c r="E42" s="19" t="s">
        <v>211</v>
      </c>
      <c r="F42" s="18"/>
      <c r="G42" s="18"/>
      <c r="H42" s="20"/>
      <c r="I42" s="18" t="s">
        <v>212</v>
      </c>
      <c r="J42" s="19"/>
      <c r="K42" s="20" t="s">
        <v>54</v>
      </c>
      <c r="L42" s="20" t="s">
        <v>7</v>
      </c>
      <c r="M42" s="20"/>
      <c r="N42" s="21"/>
      <c r="O42" s="22"/>
      <c r="P42" s="21"/>
      <c r="Q42" s="20" t="s">
        <v>54</v>
      </c>
      <c r="R42" s="20" t="n">
        <v>0</v>
      </c>
      <c r="S42" s="20" t="n">
        <v>0</v>
      </c>
      <c r="T42" s="22"/>
      <c r="U42" s="23" t="n">
        <f aca="false">S42*Übersicht!$G$4</f>
        <v>0</v>
      </c>
      <c r="V42" s="24" t="s">
        <v>7</v>
      </c>
    </row>
    <row r="43" customFormat="false" ht="15" hidden="false" customHeight="true" outlineLevel="0" collapsed="false">
      <c r="A43" s="18" t="n">
        <v>42</v>
      </c>
      <c r="B43" s="18" t="s">
        <v>213</v>
      </c>
      <c r="C43" s="18" t="s">
        <v>4</v>
      </c>
      <c r="D43" s="18" t="s">
        <v>210</v>
      </c>
      <c r="E43" s="19" t="s">
        <v>214</v>
      </c>
      <c r="F43" s="18"/>
      <c r="G43" s="18"/>
      <c r="H43" s="20"/>
      <c r="I43" s="18" t="s">
        <v>207</v>
      </c>
      <c r="J43" s="19"/>
      <c r="K43" s="20" t="s">
        <v>54</v>
      </c>
      <c r="L43" s="20" t="s">
        <v>7</v>
      </c>
      <c r="M43" s="20"/>
      <c r="N43" s="21"/>
      <c r="O43" s="22"/>
      <c r="P43" s="21"/>
      <c r="Q43" s="20" t="s">
        <v>54</v>
      </c>
      <c r="R43" s="20" t="n">
        <v>0</v>
      </c>
      <c r="S43" s="20" t="n">
        <v>0</v>
      </c>
      <c r="T43" s="22"/>
      <c r="U43" s="23" t="n">
        <f aca="false">S43*Übersicht!$G$4</f>
        <v>0</v>
      </c>
      <c r="V43" s="24" t="s">
        <v>7</v>
      </c>
    </row>
    <row r="44" customFormat="false" ht="15" hidden="false" customHeight="true" outlineLevel="0" collapsed="false">
      <c r="A44" s="18" t="n">
        <v>43</v>
      </c>
      <c r="B44" s="18" t="s">
        <v>215</v>
      </c>
      <c r="C44" s="18" t="s">
        <v>4</v>
      </c>
      <c r="D44" s="18" t="s">
        <v>216</v>
      </c>
      <c r="E44" s="19" t="s">
        <v>217</v>
      </c>
      <c r="F44" s="18"/>
      <c r="G44" s="18"/>
      <c r="H44" s="20"/>
      <c r="I44" s="18" t="s">
        <v>199</v>
      </c>
      <c r="J44" s="19" t="s">
        <v>218</v>
      </c>
      <c r="K44" s="20" t="s">
        <v>54</v>
      </c>
      <c r="L44" s="20" t="s">
        <v>7</v>
      </c>
      <c r="M44" s="20"/>
      <c r="N44" s="21"/>
      <c r="O44" s="22"/>
      <c r="P44" s="21"/>
      <c r="Q44" s="20" t="s">
        <v>54</v>
      </c>
      <c r="R44" s="20" t="n">
        <v>0</v>
      </c>
      <c r="S44" s="20" t="n">
        <v>0</v>
      </c>
      <c r="T44" s="22"/>
      <c r="U44" s="23" t="n">
        <f aca="false">S44*Übersicht!$G$4</f>
        <v>0</v>
      </c>
      <c r="V44" s="24" t="s">
        <v>7</v>
      </c>
    </row>
    <row r="45" customFormat="false" ht="15" hidden="false" customHeight="true" outlineLevel="0" collapsed="false">
      <c r="A45" s="18" t="n">
        <v>44</v>
      </c>
      <c r="B45" s="18" t="s">
        <v>219</v>
      </c>
      <c r="C45" s="18" t="s">
        <v>4</v>
      </c>
      <c r="D45" s="18" t="s">
        <v>220</v>
      </c>
      <c r="E45" s="19" t="s">
        <v>221</v>
      </c>
      <c r="F45" s="18" t="s">
        <v>222</v>
      </c>
      <c r="G45" s="18"/>
      <c r="H45" s="20"/>
      <c r="I45" s="18" t="s">
        <v>121</v>
      </c>
      <c r="J45" s="19"/>
      <c r="K45" s="20" t="s">
        <v>54</v>
      </c>
      <c r="L45" s="20" t="s">
        <v>7</v>
      </c>
      <c r="M45" s="20"/>
      <c r="N45" s="21"/>
      <c r="O45" s="22"/>
      <c r="P45" s="21"/>
      <c r="Q45" s="20" t="s">
        <v>54</v>
      </c>
      <c r="R45" s="20" t="n">
        <v>0</v>
      </c>
      <c r="S45" s="20" t="n">
        <v>0</v>
      </c>
      <c r="T45" s="22"/>
      <c r="U45" s="23" t="n">
        <f aca="false">S45*Übersicht!$G$4</f>
        <v>0</v>
      </c>
      <c r="V45" s="24" t="s">
        <v>7</v>
      </c>
    </row>
  </sheetData>
  <autoFilter ref="A1:V45"/>
  <conditionalFormatting sqref="A2:J45">
    <cfRule type="expression" priority="2" aboveAverage="0" equalAverage="0" bottom="0" percent="0" rank="0" text="" dxfId="4">
      <formula>$L2="Kooperation aktiv"</formula>
    </cfRule>
    <cfRule type="expression" priority="3" aboveAverage="0" equalAverage="0" bottom="0" percent="0" rank="0" text="" dxfId="5">
      <formula>$L2="Termin vereinbart"</formula>
    </cfRule>
    <cfRule type="expression" priority="4" aboveAverage="0" equalAverage="0" bottom="0" percent="0" rank="0" text="" dxfId="5">
      <formula>$L2="Vortrag gehalten"</formula>
    </cfRule>
    <cfRule type="expression" priority="5" aboveAverage="0" equalAverage="0" bottom="0" percent="0" rank="0" text="" dxfId="6">
      <formula>$L2="Kein Interesse"</formula>
    </cfRule>
    <cfRule type="expression" priority="6" aboveAverage="0" equalAverage="0" bottom="0" percent="0" rank="0" text="" dxfId="6">
      <formula>$L2="Geschlossen / existiert nicht"</formula>
    </cfRule>
  </conditionalFormatting>
  <dataValidations count="6">
    <dataValidation allowBlank="true" errorStyle="stop" operator="between" showDropDown="false" showErrorMessage="false" showInputMessage="false" sqref="L2:L45" type="list">
      <formula1>"Offen,Angeschrieben,Angerufen,Nachfassen,Termin vereinbart,Vortrag gehalten,Kooperation aktiv,Kein Interesse,Geschlossen / existiert nicht"</formula1>
      <formula2>0</formula2>
    </dataValidation>
    <dataValidation allowBlank="true" errorStyle="stop" operator="between" showDropDown="false" showErrorMessage="false" showInputMessage="false" sqref="K2:K45" type="list">
      <formula1>"Ja,Nein"</formula1>
      <formula2>0</formula2>
    </dataValidation>
    <dataValidation allowBlank="true" errorStyle="stop" operator="between" showDropDown="false" showErrorMessage="false" showInputMessage="false" sqref="Q2:Q45" type="list">
      <formula1>"Ja,Nein,In Prüfung"</formula1>
      <formula2>0</formula2>
    </dataValidation>
    <dataValidation allowBlank="true" errorStyle="stop" operator="greaterThan" showDropDown="false" showErrorMessage="false" showInputMessage="false" sqref="N2:N45 P2:P45" type="date">
      <formula1>DATE(2020,1,1)</formula1>
      <formula2>0</formula2>
    </dataValidation>
    <dataValidation allowBlank="true" errorStyle="stop" operator="greaterThanOrEqual" showDropDown="false" showErrorMessage="false" showInputMessage="false" sqref="R2:S45" type="whole">
      <formula1>0</formula1>
      <formula2>0</formula2>
    </dataValidation>
    <dataValidation allowBlank="true" errorStyle="stop" operator="between" showDropDown="false" showErrorMessage="false" showInputMessage="false" sqref="V2:V45" type="list">
      <formula1>"Offen,Ja,Nein,An Marvin übergeben"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223</v>
      </c>
      <c r="B1" s="25"/>
    </row>
    <row r="2" customFormat="false" ht="15" hidden="false" customHeight="true" outlineLevel="0" collapsed="false">
      <c r="A2" s="15" t="s">
        <v>224</v>
      </c>
      <c r="B2" s="25" t="s">
        <v>225</v>
      </c>
    </row>
    <row r="3" customFormat="false" ht="23.25" hidden="false" customHeight="true" outlineLevel="0" collapsed="false">
      <c r="A3" s="15" t="s">
        <v>2</v>
      </c>
      <c r="B3" s="25" t="s">
        <v>226</v>
      </c>
    </row>
    <row r="4" customFormat="false" ht="15" hidden="false" customHeight="true" outlineLevel="0" collapsed="false">
      <c r="A4" s="15" t="s">
        <v>20</v>
      </c>
      <c r="B4" s="25" t="s">
        <v>227</v>
      </c>
    </row>
    <row r="5" customFormat="false" ht="15" hidden="false" customHeight="true" outlineLevel="0" collapsed="false">
      <c r="A5" s="15" t="s">
        <v>45</v>
      </c>
      <c r="B5" s="25" t="s">
        <v>228</v>
      </c>
    </row>
    <row r="6" customFormat="false" ht="15" hidden="false" customHeight="true" outlineLevel="0" collapsed="false">
      <c r="A6" s="15" t="s">
        <v>229</v>
      </c>
      <c r="B6" s="25" t="s">
        <v>230</v>
      </c>
    </row>
    <row r="7" customFormat="false" ht="23.25" hidden="false" customHeight="true" outlineLevel="0" collapsed="false">
      <c r="A7" s="15" t="s">
        <v>231</v>
      </c>
      <c r="B7" s="25" t="s">
        <v>232</v>
      </c>
    </row>
    <row r="8" customFormat="false" ht="15" hidden="false" customHeight="true" outlineLevel="0" collapsed="false">
      <c r="A8" s="16"/>
      <c r="B8" s="25"/>
    </row>
    <row r="9" customFormat="false" ht="15" hidden="false" customHeight="true" outlineLevel="0" collapsed="false">
      <c r="A9" s="15" t="s">
        <v>233</v>
      </c>
      <c r="B9" s="25"/>
    </row>
    <row r="10" customFormat="false" ht="15" hidden="false" customHeight="true" outlineLevel="0" collapsed="false">
      <c r="A10" s="16" t="s">
        <v>2</v>
      </c>
      <c r="B10" s="26" t="s">
        <v>13</v>
      </c>
    </row>
    <row r="11" customFormat="false" ht="15" hidden="false" customHeight="true" outlineLevel="0" collapsed="false">
      <c r="A11" s="16" t="s">
        <v>41</v>
      </c>
      <c r="B11" s="26" t="s">
        <v>234</v>
      </c>
    </row>
    <row r="12" customFormat="false" ht="15" hidden="false" customHeight="true" outlineLevel="0" collapsed="false">
      <c r="A12" s="16" t="s">
        <v>42</v>
      </c>
      <c r="B12" s="26" t="s">
        <v>235</v>
      </c>
    </row>
    <row r="13" customFormat="false" ht="15" hidden="false" customHeight="true" outlineLevel="0" collapsed="false">
      <c r="A13" s="16" t="s">
        <v>43</v>
      </c>
      <c r="B13" s="26" t="s">
        <v>236</v>
      </c>
    </row>
    <row r="14" customFormat="false" ht="15" hidden="false" customHeight="true" outlineLevel="0" collapsed="false">
      <c r="A14" s="16" t="s">
        <v>44</v>
      </c>
      <c r="B14" s="26" t="s">
        <v>237</v>
      </c>
    </row>
    <row r="15" customFormat="false" ht="15" hidden="false" customHeight="true" outlineLevel="0" collapsed="false">
      <c r="A15" s="16" t="s">
        <v>45</v>
      </c>
      <c r="B15" s="26" t="s">
        <v>238</v>
      </c>
    </row>
    <row r="16" customFormat="false" ht="15" hidden="false" customHeight="true" outlineLevel="0" collapsed="false">
      <c r="A16" s="16" t="s">
        <v>22</v>
      </c>
      <c r="B16" s="26" t="s">
        <v>239</v>
      </c>
    </row>
    <row r="17" customFormat="false" ht="15" hidden="false" customHeight="true" outlineLevel="0" collapsed="false">
      <c r="A17" s="16" t="s">
        <v>46</v>
      </c>
      <c r="B17" s="26" t="s">
        <v>240</v>
      </c>
    </row>
    <row r="18" customFormat="false" ht="23.25" hidden="false" customHeight="true" outlineLevel="0" collapsed="false">
      <c r="A18" s="15" t="s">
        <v>241</v>
      </c>
      <c r="B18" s="25" t="s">
        <v>242</v>
      </c>
    </row>
    <row r="19" customFormat="false" ht="23.85" hidden="false" customHeight="false" outlineLevel="0" collapsed="false">
      <c r="A19" s="27" t="s">
        <v>48</v>
      </c>
      <c r="B19" s="25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2026-10-26T17:08:45Z</dcterms:created>
  <dc:creator>openpyxl</dc:creator>
  <dc:description/>
  <dc:language>en-US</dc:language>
  <cp:lastModifiedBy/>
  <dcterms:modified xsi:type="dcterms:W3CDTF">2026-10-26T19:01:14Z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